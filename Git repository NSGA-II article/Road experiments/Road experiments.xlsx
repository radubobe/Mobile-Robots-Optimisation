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1\Desktop\Facultate\GA in robotics\Road experiments\"/>
    </mc:Choice>
  </mc:AlternateContent>
  <xr:revisionPtr revIDLastSave="0" documentId="13_ncr:1_{9E2AFA73-EF61-4524-9B6B-0D064E993C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 1" sheetId="1" r:id="rId1"/>
    <sheet name="Set 2" sheetId="2" r:id="rId2"/>
    <sheet name="Set 3" sheetId="3" r:id="rId3"/>
    <sheet name="Set 4" sheetId="4" r:id="rId4"/>
    <sheet name="Set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5" l="1"/>
  <c r="D44" i="5"/>
  <c r="C44" i="5"/>
  <c r="B44" i="5"/>
  <c r="D43" i="5"/>
  <c r="B43" i="5"/>
  <c r="D32" i="5"/>
  <c r="C32" i="5"/>
  <c r="B32" i="5"/>
  <c r="D31" i="5"/>
  <c r="C31" i="5"/>
  <c r="B31" i="5"/>
  <c r="D20" i="5"/>
  <c r="C20" i="5"/>
  <c r="B20" i="5"/>
  <c r="D19" i="5"/>
  <c r="C19" i="5"/>
  <c r="B19" i="5"/>
  <c r="C54" i="2"/>
  <c r="C53" i="1"/>
  <c r="D53" i="4"/>
  <c r="B53" i="4"/>
  <c r="C53" i="4"/>
  <c r="C51" i="4"/>
  <c r="B51" i="4"/>
  <c r="D52" i="4"/>
  <c r="C52" i="4"/>
  <c r="B52" i="4"/>
  <c r="D51" i="4"/>
  <c r="D52" i="3"/>
  <c r="B52" i="3"/>
  <c r="C52" i="3"/>
  <c r="D51" i="3"/>
  <c r="C51" i="3"/>
  <c r="B51" i="3"/>
  <c r="D50" i="3"/>
  <c r="B50" i="3"/>
  <c r="C50" i="3"/>
  <c r="D52" i="2"/>
  <c r="C52" i="2"/>
  <c r="C53" i="2"/>
  <c r="B53" i="2"/>
  <c r="B54" i="2"/>
  <c r="B52" i="2"/>
  <c r="D54" i="2"/>
  <c r="D53" i="2"/>
  <c r="D54" i="1"/>
  <c r="D53" i="1"/>
  <c r="D52" i="1"/>
  <c r="C54" i="1"/>
  <c r="C52" i="1"/>
  <c r="B54" i="1"/>
  <c r="B53" i="1"/>
  <c r="B52" i="1"/>
  <c r="B44" i="1"/>
  <c r="D8" i="5"/>
  <c r="C8" i="5"/>
  <c r="B8" i="5"/>
  <c r="D7" i="5"/>
  <c r="C7" i="5"/>
  <c r="B7" i="5"/>
  <c r="D45" i="4"/>
  <c r="C45" i="4"/>
  <c r="B45" i="4"/>
  <c r="D44" i="4"/>
  <c r="C44" i="4"/>
  <c r="B44" i="4"/>
  <c r="D33" i="4"/>
  <c r="C33" i="4"/>
  <c r="B33" i="4"/>
  <c r="D32" i="4"/>
  <c r="C32" i="4"/>
  <c r="B32" i="4"/>
  <c r="D21" i="4"/>
  <c r="C21" i="4"/>
  <c r="B21" i="4"/>
  <c r="D20" i="4"/>
  <c r="C20" i="4"/>
  <c r="B20" i="4"/>
  <c r="D8" i="4"/>
  <c r="C8" i="4"/>
  <c r="B8" i="4"/>
  <c r="D7" i="4"/>
  <c r="C7" i="4"/>
  <c r="B7" i="4"/>
  <c r="D44" i="3"/>
  <c r="C44" i="3"/>
  <c r="B44" i="3"/>
  <c r="D43" i="3"/>
  <c r="C43" i="3"/>
  <c r="B43" i="3"/>
  <c r="D32" i="3"/>
  <c r="C32" i="3"/>
  <c r="B32" i="3"/>
  <c r="D31" i="3"/>
  <c r="C31" i="3"/>
  <c r="B31" i="3"/>
  <c r="D20" i="3"/>
  <c r="C20" i="3"/>
  <c r="B20" i="3"/>
  <c r="D19" i="3"/>
  <c r="C19" i="3"/>
  <c r="B19" i="3"/>
  <c r="D8" i="3"/>
  <c r="C8" i="3"/>
  <c r="B8" i="3"/>
  <c r="D7" i="3"/>
  <c r="C7" i="3"/>
  <c r="B7" i="3"/>
  <c r="D33" i="2"/>
  <c r="D34" i="2"/>
  <c r="C34" i="2"/>
  <c r="B34" i="2"/>
  <c r="C33" i="2"/>
  <c r="B33" i="2"/>
  <c r="D46" i="2"/>
  <c r="C46" i="2"/>
  <c r="B46" i="2"/>
  <c r="D45" i="2"/>
  <c r="C45" i="2"/>
  <c r="B45" i="2"/>
  <c r="D19" i="2"/>
  <c r="C19" i="2"/>
  <c r="B19" i="2"/>
  <c r="D18" i="2"/>
  <c r="C18" i="2"/>
  <c r="B18" i="2"/>
  <c r="D8" i="2"/>
  <c r="C8" i="2"/>
  <c r="B8" i="2"/>
  <c r="D7" i="2"/>
  <c r="C7" i="2"/>
  <c r="B7" i="2"/>
  <c r="D45" i="1"/>
  <c r="C45" i="1"/>
  <c r="B45" i="1"/>
  <c r="D44" i="1"/>
  <c r="C44" i="1"/>
  <c r="D33" i="1"/>
  <c r="C33" i="1"/>
  <c r="B33" i="1"/>
  <c r="D32" i="1"/>
  <c r="C32" i="1"/>
  <c r="B32" i="1"/>
  <c r="D20" i="1"/>
  <c r="C20" i="1"/>
  <c r="B20" i="1"/>
  <c r="D19" i="1"/>
  <c r="C19" i="1"/>
  <c r="B19" i="1"/>
  <c r="D8" i="1"/>
  <c r="C8" i="1"/>
  <c r="B8" i="1"/>
  <c r="D7" i="1"/>
  <c r="C7" i="1"/>
  <c r="B7" i="1"/>
</calcChain>
</file>

<file path=xl/sharedStrings.xml><?xml version="1.0" encoding="utf-8"?>
<sst xmlns="http://schemas.openxmlformats.org/spreadsheetml/2006/main" count="288" uniqueCount="38">
  <si>
    <t>TIME</t>
  </si>
  <si>
    <t>DISTANCE</t>
  </si>
  <si>
    <t>MEMORY</t>
  </si>
  <si>
    <t>NSGA RUN 1</t>
  </si>
  <si>
    <t>NSGA RUN 2</t>
  </si>
  <si>
    <t>NSGA RUN 3</t>
  </si>
  <si>
    <t>NSGA RUN 4</t>
  </si>
  <si>
    <t>NSGA RUN 5</t>
  </si>
  <si>
    <t xml:space="preserve">NSGA MEAN </t>
  </si>
  <si>
    <t>NSGA STD. DEVIATION</t>
  </si>
  <si>
    <t>M5 REGRESSION MODEL</t>
  </si>
  <si>
    <t>M3 EMPIRICAL WEIGHTS</t>
  </si>
  <si>
    <t xml:space="preserve">Road 1 </t>
  </si>
  <si>
    <t>Road 12</t>
  </si>
  <si>
    <t>Road 2</t>
  </si>
  <si>
    <t xml:space="preserve">Road 3 </t>
  </si>
  <si>
    <t>Road 5</t>
  </si>
  <si>
    <t>Road 6</t>
  </si>
  <si>
    <t>Road 7</t>
  </si>
  <si>
    <t>Road 9</t>
  </si>
  <si>
    <t>Road 8</t>
  </si>
  <si>
    <t>Road 11</t>
  </si>
  <si>
    <t>Road 14</t>
  </si>
  <si>
    <t>Road 15</t>
  </si>
  <si>
    <t>Road 16</t>
  </si>
  <si>
    <t>Road 17</t>
  </si>
  <si>
    <t>Road 18</t>
  </si>
  <si>
    <t>Road 20</t>
  </si>
  <si>
    <t>Road 21</t>
  </si>
  <si>
    <t xml:space="preserve">Overall set 1 </t>
  </si>
  <si>
    <t xml:space="preserve">NSGA </t>
  </si>
  <si>
    <t xml:space="preserve">M3 EMPIRICAL WEIGHTS </t>
  </si>
  <si>
    <t>Overall set 2</t>
  </si>
  <si>
    <t>Overall set 3</t>
  </si>
  <si>
    <t>Overall set 4</t>
  </si>
  <si>
    <t>Road 22</t>
  </si>
  <si>
    <t>Road 23</t>
  </si>
  <si>
    <t>Road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</si>
</sst>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D1" sqref="D1"/>
    </sheetView>
  </sheetViews>
  <sheetFormatPr defaultRowHeight="14.4" x14ac:dyDescent="0.3"/>
  <cols>
    <col min="1" max="1" width="30.88671875" customWidth="1"/>
    <col min="2" max="2" width="22.88671875" customWidth="1"/>
    <col min="3" max="3" width="24.109375" customWidth="1"/>
    <col min="4" max="4" width="23.6640625" customWidth="1"/>
    <col min="5" max="5" width="29.6640625" customWidth="1"/>
  </cols>
  <sheetData>
    <row r="1" spans="1:5" x14ac:dyDescent="0.3">
      <c r="A1" s="1" t="s">
        <v>12</v>
      </c>
      <c r="B1" s="1" t="s">
        <v>0</v>
      </c>
      <c r="C1" s="1" t="s">
        <v>1</v>
      </c>
      <c r="D1" s="1" t="s">
        <v>2</v>
      </c>
      <c r="E1" s="1"/>
    </row>
    <row r="2" spans="1:5" x14ac:dyDescent="0.3">
      <c r="A2" s="1" t="s">
        <v>3</v>
      </c>
      <c r="B2">
        <v>98</v>
      </c>
      <c r="C2">
        <v>3110</v>
      </c>
      <c r="D2">
        <v>126976</v>
      </c>
    </row>
    <row r="3" spans="1:5" x14ac:dyDescent="0.3">
      <c r="A3" s="1" t="s">
        <v>4</v>
      </c>
      <c r="B3">
        <v>90</v>
      </c>
      <c r="C3">
        <v>2690</v>
      </c>
      <c r="D3">
        <v>122880</v>
      </c>
    </row>
    <row r="4" spans="1:5" x14ac:dyDescent="0.3">
      <c r="A4" s="1" t="s">
        <v>5</v>
      </c>
      <c r="B4">
        <v>89</v>
      </c>
      <c r="C4">
        <v>2683</v>
      </c>
      <c r="D4">
        <v>126976</v>
      </c>
    </row>
    <row r="5" spans="1:5" x14ac:dyDescent="0.3">
      <c r="A5" s="1" t="s">
        <v>6</v>
      </c>
      <c r="B5">
        <v>68</v>
      </c>
      <c r="C5">
        <v>2662</v>
      </c>
      <c r="D5">
        <v>131072</v>
      </c>
    </row>
    <row r="6" spans="1:5" x14ac:dyDescent="0.3">
      <c r="A6" s="1" t="s">
        <v>7</v>
      </c>
      <c r="B6">
        <v>92</v>
      </c>
      <c r="C6">
        <v>2681</v>
      </c>
      <c r="D6">
        <v>131072</v>
      </c>
    </row>
    <row r="7" spans="1:5" x14ac:dyDescent="0.3">
      <c r="A7" s="1" t="s">
        <v>8</v>
      </c>
      <c r="B7">
        <f>AVERAGE(B2:B6)</f>
        <v>87.4</v>
      </c>
      <c r="C7">
        <f>AVERAGE(C2:C6)</f>
        <v>2765.2</v>
      </c>
      <c r="D7">
        <f>AVERAGE(D2:D6)</f>
        <v>127795.2</v>
      </c>
    </row>
    <row r="8" spans="1:5" x14ac:dyDescent="0.3">
      <c r="A8" s="1" t="s">
        <v>9</v>
      </c>
      <c r="B8">
        <f>_xlfn.STDEV.P(B2:B6)</f>
        <v>10.190191362285598</v>
      </c>
      <c r="C8">
        <f>_xlfn.STDEV.P(C2:C6)</f>
        <v>172.64923978981199</v>
      </c>
      <c r="D8">
        <f>_xlfn.STDEV.P(D2:D6)</f>
        <v>3065.165731245213</v>
      </c>
    </row>
    <row r="9" spans="1:5" x14ac:dyDescent="0.3">
      <c r="A9" s="1" t="s">
        <v>10</v>
      </c>
      <c r="B9">
        <v>104</v>
      </c>
      <c r="C9">
        <v>2683</v>
      </c>
      <c r="D9">
        <v>126976</v>
      </c>
    </row>
    <row r="10" spans="1:5" x14ac:dyDescent="0.3">
      <c r="A10" s="1" t="s">
        <v>11</v>
      </c>
      <c r="B10">
        <v>157</v>
      </c>
      <c r="C10">
        <v>2843</v>
      </c>
      <c r="D10">
        <v>102400</v>
      </c>
    </row>
    <row r="13" spans="1:5" x14ac:dyDescent="0.3">
      <c r="A13" s="1" t="s">
        <v>14</v>
      </c>
      <c r="B13" s="1" t="s">
        <v>0</v>
      </c>
      <c r="C13" s="1" t="s">
        <v>1</v>
      </c>
      <c r="D13" s="1" t="s">
        <v>2</v>
      </c>
    </row>
    <row r="14" spans="1:5" x14ac:dyDescent="0.3">
      <c r="A14" s="1" t="s">
        <v>3</v>
      </c>
      <c r="B14">
        <v>64</v>
      </c>
      <c r="C14">
        <v>2637</v>
      </c>
      <c r="D14">
        <v>2674699</v>
      </c>
    </row>
    <row r="15" spans="1:5" x14ac:dyDescent="0.3">
      <c r="A15" s="1" t="s">
        <v>4</v>
      </c>
      <c r="B15">
        <v>66</v>
      </c>
      <c r="C15">
        <v>2646</v>
      </c>
      <c r="D15">
        <v>2531328</v>
      </c>
    </row>
    <row r="16" spans="1:5" x14ac:dyDescent="0.3">
      <c r="A16" s="1" t="s">
        <v>5</v>
      </c>
      <c r="B16">
        <v>64</v>
      </c>
      <c r="C16">
        <v>2659</v>
      </c>
      <c r="D16">
        <v>219546</v>
      </c>
    </row>
    <row r="17" spans="1:4" x14ac:dyDescent="0.3">
      <c r="A17" s="1" t="s">
        <v>6</v>
      </c>
      <c r="B17">
        <v>83</v>
      </c>
      <c r="C17">
        <v>2623</v>
      </c>
      <c r="D17">
        <v>2555904</v>
      </c>
    </row>
    <row r="18" spans="1:4" x14ac:dyDescent="0.3">
      <c r="A18" s="1" t="s">
        <v>7</v>
      </c>
      <c r="B18">
        <v>62</v>
      </c>
      <c r="C18">
        <v>2596</v>
      </c>
      <c r="D18">
        <v>2187264</v>
      </c>
    </row>
    <row r="19" spans="1:4" x14ac:dyDescent="0.3">
      <c r="A19" s="1" t="s">
        <v>8</v>
      </c>
      <c r="B19">
        <f>AVERAGE(B14:B18)</f>
        <v>67.8</v>
      </c>
      <c r="C19">
        <f>AVERAGE(C14:C18)</f>
        <v>2632.2</v>
      </c>
      <c r="D19">
        <f>AVERAGE(D14:D18)</f>
        <v>2033748.2</v>
      </c>
    </row>
    <row r="20" spans="1:4" x14ac:dyDescent="0.3">
      <c r="A20" s="1" t="s">
        <v>9</v>
      </c>
      <c r="B20">
        <f>_xlfn.STDEV.P(B14:B18)</f>
        <v>7.7045441137032888</v>
      </c>
      <c r="C20">
        <f>_xlfn.STDEV.P(C14:C18)</f>
        <v>21.572204337990126</v>
      </c>
      <c r="D20">
        <f>_xlfn.STDEV.P(D14:D18)</f>
        <v>921514.73001757276</v>
      </c>
    </row>
    <row r="21" spans="1:4" x14ac:dyDescent="0.3">
      <c r="A21" s="1" t="s">
        <v>10</v>
      </c>
      <c r="B21">
        <v>120</v>
      </c>
      <c r="C21">
        <v>2575</v>
      </c>
      <c r="D21">
        <v>139264</v>
      </c>
    </row>
    <row r="22" spans="1:4" x14ac:dyDescent="0.3">
      <c r="A22" s="1" t="s">
        <v>11</v>
      </c>
      <c r="B22">
        <v>114</v>
      </c>
      <c r="C22">
        <v>2716</v>
      </c>
      <c r="D22">
        <v>131072</v>
      </c>
    </row>
    <row r="26" spans="1:4" x14ac:dyDescent="0.3">
      <c r="A26" s="1" t="s">
        <v>15</v>
      </c>
      <c r="B26" s="1" t="s">
        <v>0</v>
      </c>
      <c r="C26" s="1" t="s">
        <v>1</v>
      </c>
      <c r="D26" s="1" t="s">
        <v>2</v>
      </c>
    </row>
    <row r="27" spans="1:4" x14ac:dyDescent="0.3">
      <c r="A27" s="1" t="s">
        <v>3</v>
      </c>
      <c r="B27">
        <v>71</v>
      </c>
      <c r="C27">
        <v>2887</v>
      </c>
      <c r="D27">
        <v>2375698</v>
      </c>
    </row>
    <row r="28" spans="1:4" x14ac:dyDescent="0.3">
      <c r="A28" s="1" t="s">
        <v>4</v>
      </c>
      <c r="B28">
        <v>73</v>
      </c>
      <c r="C28">
        <v>2846</v>
      </c>
      <c r="D28">
        <v>2517328</v>
      </c>
    </row>
    <row r="29" spans="1:4" x14ac:dyDescent="0.3">
      <c r="A29" s="1" t="s">
        <v>5</v>
      </c>
      <c r="B29">
        <v>69</v>
      </c>
      <c r="C29">
        <v>2759</v>
      </c>
      <c r="D29">
        <v>219638</v>
      </c>
    </row>
    <row r="30" spans="1:4" x14ac:dyDescent="0.3">
      <c r="A30" s="1" t="s">
        <v>6</v>
      </c>
      <c r="B30">
        <v>77</v>
      </c>
      <c r="C30">
        <v>2963</v>
      </c>
      <c r="D30">
        <v>2546924</v>
      </c>
    </row>
    <row r="31" spans="1:4" x14ac:dyDescent="0.3">
      <c r="A31" s="1" t="s">
        <v>7</v>
      </c>
      <c r="B31">
        <v>68</v>
      </c>
      <c r="C31">
        <v>2196</v>
      </c>
      <c r="D31">
        <v>2145875</v>
      </c>
    </row>
    <row r="32" spans="1:4" x14ac:dyDescent="0.3">
      <c r="A32" s="1" t="s">
        <v>8</v>
      </c>
      <c r="B32">
        <f>AVERAGE(B27:B31)</f>
        <v>71.599999999999994</v>
      </c>
      <c r="C32">
        <f>AVERAGE(C27:C31)</f>
        <v>2730.2</v>
      </c>
      <c r="D32">
        <f>AVERAGE(D27:D31)</f>
        <v>1961092.6</v>
      </c>
    </row>
    <row r="33" spans="1:4" x14ac:dyDescent="0.3">
      <c r="A33" s="1" t="s">
        <v>9</v>
      </c>
      <c r="B33">
        <f>_xlfn.STDEV.P(B27:B31)</f>
        <v>3.1999999999999997</v>
      </c>
      <c r="C33">
        <f>_xlfn.STDEV.P(C27:C31)</f>
        <v>275.0966375657834</v>
      </c>
      <c r="D33">
        <f>_xlfn.STDEV.P(D27:D31)</f>
        <v>882190.74426783691</v>
      </c>
    </row>
    <row r="34" spans="1:4" x14ac:dyDescent="0.3">
      <c r="A34" s="1" t="s">
        <v>10</v>
      </c>
      <c r="B34">
        <v>134</v>
      </c>
      <c r="C34">
        <v>2786</v>
      </c>
      <c r="D34">
        <v>159264</v>
      </c>
    </row>
    <row r="35" spans="1:4" x14ac:dyDescent="0.3">
      <c r="A35" s="1" t="s">
        <v>11</v>
      </c>
      <c r="B35">
        <v>122</v>
      </c>
      <c r="C35">
        <v>3014</v>
      </c>
      <c r="D35">
        <v>131072</v>
      </c>
    </row>
    <row r="38" spans="1:4" x14ac:dyDescent="0.3">
      <c r="A38" s="1" t="s">
        <v>16</v>
      </c>
      <c r="B38" s="1" t="s">
        <v>0</v>
      </c>
      <c r="C38" s="1" t="s">
        <v>1</v>
      </c>
      <c r="D38" s="1" t="s">
        <v>2</v>
      </c>
    </row>
    <row r="39" spans="1:4" x14ac:dyDescent="0.3">
      <c r="A39" s="1" t="s">
        <v>3</v>
      </c>
      <c r="B39">
        <v>46</v>
      </c>
      <c r="C39">
        <v>2366</v>
      </c>
      <c r="D39">
        <v>2043904</v>
      </c>
    </row>
    <row r="40" spans="1:4" x14ac:dyDescent="0.3">
      <c r="A40" s="1" t="s">
        <v>4</v>
      </c>
      <c r="B40">
        <v>51</v>
      </c>
      <c r="C40">
        <v>2375</v>
      </c>
      <c r="D40">
        <v>2289664</v>
      </c>
    </row>
    <row r="41" spans="1:4" x14ac:dyDescent="0.3">
      <c r="A41" s="1" t="s">
        <v>5</v>
      </c>
      <c r="B41">
        <v>51</v>
      </c>
      <c r="C41">
        <v>2400</v>
      </c>
      <c r="D41">
        <v>1654784</v>
      </c>
    </row>
    <row r="42" spans="1:4" x14ac:dyDescent="0.3">
      <c r="A42" s="1" t="s">
        <v>6</v>
      </c>
      <c r="B42">
        <v>48</v>
      </c>
      <c r="C42">
        <v>2485</v>
      </c>
      <c r="D42">
        <v>1884160</v>
      </c>
    </row>
    <row r="43" spans="1:4" x14ac:dyDescent="0.3">
      <c r="A43" s="1" t="s">
        <v>7</v>
      </c>
      <c r="B43">
        <v>50</v>
      </c>
      <c r="C43">
        <v>2370</v>
      </c>
      <c r="D43">
        <v>1728512</v>
      </c>
    </row>
    <row r="44" spans="1:4" x14ac:dyDescent="0.3">
      <c r="A44" s="1" t="s">
        <v>8</v>
      </c>
      <c r="B44">
        <f>AVERAGE(B39:B43)</f>
        <v>49.2</v>
      </c>
      <c r="C44">
        <f>AVERAGE(C39:C43)</f>
        <v>2399.1999999999998</v>
      </c>
      <c r="D44">
        <f>AVERAGE(D39:D43)</f>
        <v>1920204.8</v>
      </c>
    </row>
    <row r="45" spans="1:4" x14ac:dyDescent="0.3">
      <c r="A45" s="1" t="s">
        <v>9</v>
      </c>
      <c r="B45">
        <f>_xlfn.STDEV.P(B39:B43)</f>
        <v>1.9390719429665317</v>
      </c>
      <c r="C45">
        <f>_xlfn.STDEV.P(C39:C43)</f>
        <v>44.503483009760032</v>
      </c>
      <c r="D45">
        <f>_xlfn.STDEV.P(D39:D43)</f>
        <v>228164.48049457654</v>
      </c>
    </row>
    <row r="46" spans="1:4" x14ac:dyDescent="0.3">
      <c r="A46" s="1" t="s">
        <v>10</v>
      </c>
      <c r="B46">
        <v>108</v>
      </c>
      <c r="C46">
        <v>3639</v>
      </c>
      <c r="D46">
        <v>2621440</v>
      </c>
    </row>
    <row r="47" spans="1:4" x14ac:dyDescent="0.3">
      <c r="A47" s="1" t="s">
        <v>11</v>
      </c>
      <c r="B47">
        <v>74</v>
      </c>
      <c r="C47">
        <v>2749</v>
      </c>
      <c r="D47">
        <v>2093056</v>
      </c>
    </row>
    <row r="51" spans="1:4" x14ac:dyDescent="0.3">
      <c r="A51" s="1" t="s">
        <v>29</v>
      </c>
      <c r="B51" s="1" t="s">
        <v>0</v>
      </c>
      <c r="C51" s="1" t="s">
        <v>1</v>
      </c>
      <c r="D51" s="1" t="s">
        <v>2</v>
      </c>
    </row>
    <row r="52" spans="1:4" x14ac:dyDescent="0.3">
      <c r="A52" s="1" t="s">
        <v>30</v>
      </c>
      <c r="B52">
        <f>AVERAGE(B7,B19,B32,B44)</f>
        <v>69</v>
      </c>
      <c r="C52">
        <f>AVERAGE(C7,C19,C32,C44)</f>
        <v>2631.7</v>
      </c>
      <c r="D52">
        <f>AVERAGE(D7,D19,D32,D44)</f>
        <v>1510710.2</v>
      </c>
    </row>
    <row r="53" spans="1:4" x14ac:dyDescent="0.3">
      <c r="A53" s="1" t="s">
        <v>10</v>
      </c>
      <c r="B53">
        <f>AVERAGE(B9,B21,B34,B46)</f>
        <v>116.5</v>
      </c>
      <c r="C53">
        <f>AVERAGE(C9,C21,C34,C46)</f>
        <v>2920.75</v>
      </c>
      <c r="D53">
        <f>AVERAGE(D9,D21,D34,D46)</f>
        <v>761736</v>
      </c>
    </row>
    <row r="54" spans="1:4" x14ac:dyDescent="0.3">
      <c r="A54" s="1" t="s">
        <v>31</v>
      </c>
      <c r="B54">
        <f>AVERAGE(B10,B22,B35,B47)</f>
        <v>116.75</v>
      </c>
      <c r="C54">
        <f>AVERAGE(C10,C22,C35,C47)</f>
        <v>2830.5</v>
      </c>
      <c r="D54">
        <f>AVERAGE(D10)</f>
        <v>102400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B75A-EB16-4B59-A200-030B22C75FC9}">
  <dimension ref="A1:D54"/>
  <sheetViews>
    <sheetView topLeftCell="A37" workbookViewId="0">
      <selection activeCell="D54" sqref="D54"/>
    </sheetView>
  </sheetViews>
  <sheetFormatPr defaultRowHeight="14.4" x14ac:dyDescent="0.3"/>
  <cols>
    <col min="1" max="1" width="28.109375" customWidth="1"/>
    <col min="2" max="2" width="20.88671875" customWidth="1"/>
    <col min="3" max="3" width="19.21875" customWidth="1"/>
    <col min="4" max="4" width="22.88671875" customWidth="1"/>
  </cols>
  <sheetData>
    <row r="1" spans="1:4" x14ac:dyDescent="0.3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70</v>
      </c>
      <c r="C2">
        <v>2498</v>
      </c>
      <c r="D2">
        <v>2396160</v>
      </c>
    </row>
    <row r="3" spans="1:4" x14ac:dyDescent="0.3">
      <c r="A3" s="1" t="s">
        <v>4</v>
      </c>
      <c r="B3">
        <v>53</v>
      </c>
      <c r="C3">
        <v>2493</v>
      </c>
      <c r="D3">
        <v>2019328</v>
      </c>
    </row>
    <row r="4" spans="1:4" x14ac:dyDescent="0.3">
      <c r="A4" s="1" t="s">
        <v>5</v>
      </c>
      <c r="B4">
        <v>58</v>
      </c>
      <c r="C4">
        <v>2794</v>
      </c>
      <c r="D4">
        <v>2265088</v>
      </c>
    </row>
    <row r="5" spans="1:4" x14ac:dyDescent="0.3">
      <c r="A5" s="1" t="s">
        <v>6</v>
      </c>
      <c r="B5">
        <v>56</v>
      </c>
      <c r="C5">
        <v>2743</v>
      </c>
      <c r="D5">
        <v>2437120</v>
      </c>
    </row>
    <row r="6" spans="1:4" x14ac:dyDescent="0.3">
      <c r="A6" s="1" t="s">
        <v>7</v>
      </c>
      <c r="B6">
        <v>61</v>
      </c>
      <c r="C6">
        <v>2882</v>
      </c>
      <c r="D6">
        <v>2555904</v>
      </c>
    </row>
    <row r="7" spans="1:4" x14ac:dyDescent="0.3">
      <c r="A7" s="1" t="s">
        <v>8</v>
      </c>
      <c r="B7">
        <f>AVERAGE(B2:B6)</f>
        <v>59.6</v>
      </c>
      <c r="C7">
        <f>AVERAGE(C2:C6)</f>
        <v>2682</v>
      </c>
      <c r="D7">
        <f>AVERAGE(D2:D6)</f>
        <v>2334720</v>
      </c>
    </row>
    <row r="8" spans="1:4" x14ac:dyDescent="0.3">
      <c r="A8" s="1" t="s">
        <v>9</v>
      </c>
      <c r="B8">
        <f>_xlfn.STDEV.P(B2:B6)</f>
        <v>5.8172158288995943</v>
      </c>
      <c r="C8">
        <f>_xlfn.STDEV.P(C2:C6)</f>
        <v>158.64551679767067</v>
      </c>
      <c r="D8">
        <f>_xlfn.STDEV.P(D2:D6)</f>
        <v>183032.08710168826</v>
      </c>
    </row>
    <row r="9" spans="1:4" x14ac:dyDescent="0.3">
      <c r="A9" s="1" t="s">
        <v>10</v>
      </c>
      <c r="B9">
        <v>121</v>
      </c>
      <c r="C9">
        <v>3432</v>
      </c>
      <c r="D9">
        <v>1834959</v>
      </c>
    </row>
    <row r="10" spans="1:4" x14ac:dyDescent="0.3">
      <c r="A10" s="1" t="s">
        <v>11</v>
      </c>
      <c r="B10">
        <v>91</v>
      </c>
      <c r="C10">
        <v>2827</v>
      </c>
      <c r="D10">
        <v>1966080</v>
      </c>
    </row>
    <row r="12" spans="1:4" x14ac:dyDescent="0.3">
      <c r="A12" s="1" t="s">
        <v>18</v>
      </c>
      <c r="B12" s="1" t="s">
        <v>0</v>
      </c>
      <c r="C12" s="1" t="s">
        <v>1</v>
      </c>
      <c r="D12" s="1" t="s">
        <v>2</v>
      </c>
    </row>
    <row r="13" spans="1:4" x14ac:dyDescent="0.3">
      <c r="A13" s="1" t="s">
        <v>3</v>
      </c>
      <c r="B13">
        <v>78</v>
      </c>
      <c r="C13">
        <v>2576</v>
      </c>
      <c r="D13">
        <v>126976</v>
      </c>
    </row>
    <row r="14" spans="1:4" x14ac:dyDescent="0.3">
      <c r="A14" s="1" t="s">
        <v>4</v>
      </c>
      <c r="B14">
        <v>59</v>
      </c>
      <c r="C14">
        <v>2565</v>
      </c>
      <c r="D14">
        <v>122880</v>
      </c>
    </row>
    <row r="15" spans="1:4" x14ac:dyDescent="0.3">
      <c r="A15" s="1" t="s">
        <v>5</v>
      </c>
      <c r="B15">
        <v>64</v>
      </c>
      <c r="C15">
        <v>2542</v>
      </c>
      <c r="D15">
        <v>126976</v>
      </c>
    </row>
    <row r="16" spans="1:4" x14ac:dyDescent="0.3">
      <c r="A16" s="1" t="s">
        <v>6</v>
      </c>
      <c r="B16">
        <v>64</v>
      </c>
      <c r="C16">
        <v>2563</v>
      </c>
      <c r="D16">
        <v>126976</v>
      </c>
    </row>
    <row r="17" spans="1:4" x14ac:dyDescent="0.3">
      <c r="A17" s="1" t="s">
        <v>7</v>
      </c>
      <c r="B17">
        <v>62</v>
      </c>
      <c r="C17">
        <v>2566</v>
      </c>
      <c r="D17">
        <v>126976</v>
      </c>
    </row>
    <row r="18" spans="1:4" x14ac:dyDescent="0.3">
      <c r="A18" s="1" t="s">
        <v>8</v>
      </c>
      <c r="B18">
        <f>AVERAGE(B13:B17)</f>
        <v>65.400000000000006</v>
      </c>
      <c r="C18">
        <f>AVERAGE(C13:C17)</f>
        <v>2562.4</v>
      </c>
      <c r="D18">
        <f>AVERAGE(D13:D17)</f>
        <v>126156.8</v>
      </c>
    </row>
    <row r="19" spans="1:4" x14ac:dyDescent="0.3">
      <c r="A19" s="1" t="s">
        <v>9</v>
      </c>
      <c r="B19">
        <f>_xlfn.STDEV.P(B13:B17)</f>
        <v>6.5604877867426898</v>
      </c>
      <c r="C19">
        <f>_xlfn.STDEV.P(C13:C17)</f>
        <v>11.146299834474219</v>
      </c>
      <c r="D19">
        <f>_xlfn.STDEV.P(D13:D17)</f>
        <v>1638.3999999999999</v>
      </c>
    </row>
    <row r="20" spans="1:4" x14ac:dyDescent="0.3">
      <c r="A20" s="1" t="s">
        <v>10</v>
      </c>
      <c r="B20">
        <v>94</v>
      </c>
      <c r="C20">
        <v>2498</v>
      </c>
      <c r="D20">
        <v>131072</v>
      </c>
    </row>
    <row r="21" spans="1:4" x14ac:dyDescent="0.3">
      <c r="A21" s="1" t="s">
        <v>11</v>
      </c>
      <c r="B21">
        <v>66</v>
      </c>
      <c r="C21">
        <v>2815</v>
      </c>
      <c r="D21">
        <v>131072</v>
      </c>
    </row>
    <row r="27" spans="1:4" x14ac:dyDescent="0.3">
      <c r="A27" s="1" t="s">
        <v>20</v>
      </c>
      <c r="B27" s="1" t="s">
        <v>0</v>
      </c>
      <c r="C27" s="1" t="s">
        <v>1</v>
      </c>
      <c r="D27" s="1" t="s">
        <v>2</v>
      </c>
    </row>
    <row r="28" spans="1:4" x14ac:dyDescent="0.3">
      <c r="A28" s="1" t="s">
        <v>3</v>
      </c>
      <c r="B28">
        <v>67</v>
      </c>
      <c r="C28">
        <v>3038</v>
      </c>
      <c r="D28">
        <v>2392350</v>
      </c>
    </row>
    <row r="29" spans="1:4" x14ac:dyDescent="0.3">
      <c r="A29" s="1" t="s">
        <v>4</v>
      </c>
      <c r="B29">
        <v>56</v>
      </c>
      <c r="C29">
        <v>2993</v>
      </c>
      <c r="D29">
        <v>2126528</v>
      </c>
    </row>
    <row r="30" spans="1:4" x14ac:dyDescent="0.3">
      <c r="A30" s="1" t="s">
        <v>5</v>
      </c>
      <c r="B30">
        <v>59</v>
      </c>
      <c r="C30">
        <v>2894</v>
      </c>
      <c r="D30">
        <v>2234588</v>
      </c>
    </row>
    <row r="31" spans="1:4" x14ac:dyDescent="0.3">
      <c r="A31" s="1" t="s">
        <v>6</v>
      </c>
      <c r="B31">
        <v>61</v>
      </c>
      <c r="C31">
        <v>3032</v>
      </c>
      <c r="D31">
        <v>2479120</v>
      </c>
    </row>
    <row r="32" spans="1:4" x14ac:dyDescent="0.3">
      <c r="A32" s="1" t="s">
        <v>7</v>
      </c>
      <c r="B32">
        <v>64</v>
      </c>
      <c r="C32">
        <v>2962</v>
      </c>
      <c r="D32">
        <v>2535704</v>
      </c>
    </row>
    <row r="33" spans="1:4" x14ac:dyDescent="0.3">
      <c r="A33" s="1" t="s">
        <v>8</v>
      </c>
      <c r="B33">
        <f>AVERAGE(B28:B32)</f>
        <v>61.4</v>
      </c>
      <c r="C33">
        <f>AVERAGE(C28:C32)</f>
        <v>2983.8</v>
      </c>
      <c r="D33">
        <f>AVERAGE(D28:D32)</f>
        <v>2353658</v>
      </c>
    </row>
    <row r="34" spans="1:4" x14ac:dyDescent="0.3">
      <c r="A34" s="1" t="s">
        <v>9</v>
      </c>
      <c r="B34">
        <f>_xlfn.STDEV.P(B28:B32)</f>
        <v>3.8262252939417984</v>
      </c>
      <c r="C34">
        <f>_xlfn.STDEV.P(C28:C32)</f>
        <v>52.696868977198257</v>
      </c>
      <c r="D34">
        <f>_xlfn.STDEV.P(D28:D32)</f>
        <v>152410.12579484342</v>
      </c>
    </row>
    <row r="35" spans="1:4" x14ac:dyDescent="0.3">
      <c r="A35" s="1" t="s">
        <v>10</v>
      </c>
      <c r="B35">
        <v>128</v>
      </c>
      <c r="C35">
        <v>3752</v>
      </c>
      <c r="D35">
        <v>1834345</v>
      </c>
    </row>
    <row r="36" spans="1:4" x14ac:dyDescent="0.3">
      <c r="A36" s="1" t="s">
        <v>11</v>
      </c>
      <c r="B36">
        <v>101</v>
      </c>
      <c r="C36">
        <v>3126</v>
      </c>
      <c r="D36">
        <v>1945890</v>
      </c>
    </row>
    <row r="39" spans="1:4" x14ac:dyDescent="0.3">
      <c r="A39" s="1" t="s">
        <v>19</v>
      </c>
      <c r="B39" s="1" t="s">
        <v>0</v>
      </c>
      <c r="C39" s="1" t="s">
        <v>1</v>
      </c>
      <c r="D39" s="1" t="s">
        <v>2</v>
      </c>
    </row>
    <row r="40" spans="1:4" x14ac:dyDescent="0.3">
      <c r="A40" s="1" t="s">
        <v>3</v>
      </c>
      <c r="B40">
        <v>44</v>
      </c>
      <c r="C40">
        <v>1973</v>
      </c>
      <c r="D40">
        <v>2609152</v>
      </c>
    </row>
    <row r="41" spans="1:4" x14ac:dyDescent="0.3">
      <c r="A41" s="1" t="s">
        <v>4</v>
      </c>
      <c r="B41">
        <v>40</v>
      </c>
      <c r="C41">
        <v>1998</v>
      </c>
      <c r="D41">
        <v>1998848</v>
      </c>
    </row>
    <row r="42" spans="1:4" x14ac:dyDescent="0.3">
      <c r="A42" s="1" t="s">
        <v>5</v>
      </c>
      <c r="B42">
        <v>45</v>
      </c>
      <c r="C42">
        <v>1993</v>
      </c>
      <c r="D42">
        <v>2510848</v>
      </c>
    </row>
    <row r="43" spans="1:4" x14ac:dyDescent="0.3">
      <c r="A43" s="1" t="s">
        <v>6</v>
      </c>
      <c r="B43">
        <v>38</v>
      </c>
      <c r="C43">
        <v>1957</v>
      </c>
      <c r="D43">
        <v>1982464</v>
      </c>
    </row>
    <row r="44" spans="1:4" x14ac:dyDescent="0.3">
      <c r="A44" s="1" t="s">
        <v>7</v>
      </c>
      <c r="B44">
        <v>44</v>
      </c>
      <c r="C44">
        <v>2060</v>
      </c>
      <c r="D44">
        <v>2060288</v>
      </c>
    </row>
    <row r="45" spans="1:4" x14ac:dyDescent="0.3">
      <c r="A45" s="1" t="s">
        <v>8</v>
      </c>
      <c r="B45">
        <f>AVERAGE(B40:B44)</f>
        <v>42.2</v>
      </c>
      <c r="C45">
        <f>AVERAGE(C40:C44)</f>
        <v>1996.2</v>
      </c>
      <c r="D45">
        <f>AVERAGE(D40:D44)</f>
        <v>2232320</v>
      </c>
    </row>
    <row r="46" spans="1:4" x14ac:dyDescent="0.3">
      <c r="A46" s="1" t="s">
        <v>9</v>
      </c>
      <c r="B46">
        <f>_xlfn.STDEV.P(B40:B44)</f>
        <v>2.7129319932501073</v>
      </c>
      <c r="C46">
        <f>_xlfn.STDEV.P(C40:C44)</f>
        <v>35.096438565757637</v>
      </c>
      <c r="D46">
        <f>_xlfn.STDEV.P(D40:D44)</f>
        <v>270596.52900656353</v>
      </c>
    </row>
    <row r="47" spans="1:4" x14ac:dyDescent="0.3">
      <c r="A47" s="1" t="s">
        <v>10</v>
      </c>
      <c r="B47">
        <v>55</v>
      </c>
      <c r="C47">
        <v>1810</v>
      </c>
      <c r="D47">
        <v>131072</v>
      </c>
    </row>
    <row r="48" spans="1:4" x14ac:dyDescent="0.3">
      <c r="A48" s="1" t="s">
        <v>11</v>
      </c>
      <c r="B48">
        <v>67</v>
      </c>
      <c r="C48">
        <v>2048</v>
      </c>
      <c r="D48">
        <v>2719744</v>
      </c>
    </row>
    <row r="51" spans="1:4" x14ac:dyDescent="0.3">
      <c r="A51" s="1" t="s">
        <v>32</v>
      </c>
      <c r="B51" s="1" t="s">
        <v>0</v>
      </c>
      <c r="C51" s="1" t="s">
        <v>1</v>
      </c>
      <c r="D51" s="1" t="s">
        <v>2</v>
      </c>
    </row>
    <row r="52" spans="1:4" x14ac:dyDescent="0.3">
      <c r="A52" s="1" t="s">
        <v>30</v>
      </c>
      <c r="B52">
        <f>AVERAGE(B7,B18,B33,B45)</f>
        <v>57.150000000000006</v>
      </c>
      <c r="C52">
        <f>AVERAGE(C7,C18,C33,C45)</f>
        <v>2556.1000000000004</v>
      </c>
      <c r="D52">
        <f>AVERAGE(D7,D18,D33,D45)</f>
        <v>1761713.7</v>
      </c>
    </row>
    <row r="53" spans="1:4" x14ac:dyDescent="0.3">
      <c r="A53" s="1" t="s">
        <v>10</v>
      </c>
      <c r="B53">
        <f>AVERAGE(B9,B20,B35,B47)</f>
        <v>99.5</v>
      </c>
      <c r="C53">
        <f>AVERAGE(C9,C20,C35,C47)</f>
        <v>2873</v>
      </c>
      <c r="D53">
        <f>AVERAGE(D9,D21,D34,D46)</f>
        <v>597259.41370035172</v>
      </c>
    </row>
    <row r="54" spans="1:4" x14ac:dyDescent="0.3">
      <c r="A54" s="1" t="s">
        <v>31</v>
      </c>
      <c r="B54">
        <f>AVERAGE(B10,B21,B36,B48)</f>
        <v>81.25</v>
      </c>
      <c r="C54">
        <f>AVERAGE(C10,C21,C36,C48)</f>
        <v>2704</v>
      </c>
      <c r="D54">
        <f>AVERAGE(D10)</f>
        <v>1966080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48BE-2F96-4B67-96A4-B0E7B12CCE75}">
  <dimension ref="A1:D52"/>
  <sheetViews>
    <sheetView topLeftCell="A37" workbookViewId="0">
      <selection activeCell="D52" sqref="D52"/>
    </sheetView>
  </sheetViews>
  <sheetFormatPr defaultRowHeight="14.4" x14ac:dyDescent="0.3"/>
  <cols>
    <col min="1" max="1" width="30.77734375" customWidth="1"/>
    <col min="2" max="2" width="18.88671875" customWidth="1"/>
    <col min="3" max="3" width="20.88671875" customWidth="1"/>
    <col min="4" max="4" width="21.5546875" customWidth="1"/>
  </cols>
  <sheetData>
    <row r="1" spans="1:4" x14ac:dyDescent="0.3">
      <c r="A1" s="1" t="s">
        <v>21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162</v>
      </c>
      <c r="C2">
        <v>5689</v>
      </c>
      <c r="D2">
        <v>98304</v>
      </c>
    </row>
    <row r="3" spans="1:4" x14ac:dyDescent="0.3">
      <c r="A3" s="1" t="s">
        <v>4</v>
      </c>
      <c r="B3">
        <v>156</v>
      </c>
      <c r="C3">
        <v>5669</v>
      </c>
      <c r="D3">
        <v>98304</v>
      </c>
    </row>
    <row r="4" spans="1:4" x14ac:dyDescent="0.3">
      <c r="A4" s="1" t="s">
        <v>5</v>
      </c>
      <c r="B4">
        <v>156</v>
      </c>
      <c r="C4">
        <v>5689</v>
      </c>
      <c r="D4">
        <v>98304</v>
      </c>
    </row>
    <row r="5" spans="1:4" x14ac:dyDescent="0.3">
      <c r="A5" s="1" t="s">
        <v>6</v>
      </c>
      <c r="B5">
        <v>150</v>
      </c>
      <c r="C5">
        <v>5686</v>
      </c>
      <c r="D5">
        <v>98304</v>
      </c>
    </row>
    <row r="6" spans="1:4" x14ac:dyDescent="0.3">
      <c r="A6" s="1" t="s">
        <v>7</v>
      </c>
      <c r="B6">
        <v>150</v>
      </c>
      <c r="C6">
        <v>5670</v>
      </c>
      <c r="D6">
        <v>98304</v>
      </c>
    </row>
    <row r="7" spans="1:4" x14ac:dyDescent="0.3">
      <c r="A7" s="1" t="s">
        <v>8</v>
      </c>
      <c r="B7">
        <f>AVERAGE(B2:B6)</f>
        <v>154.80000000000001</v>
      </c>
      <c r="C7">
        <f>AVERAGE(C2:C6)</f>
        <v>5680.6</v>
      </c>
      <c r="D7">
        <f>AVERAGE(D2:D6)</f>
        <v>98304</v>
      </c>
    </row>
    <row r="8" spans="1:4" x14ac:dyDescent="0.3">
      <c r="A8" s="1" t="s">
        <v>9</v>
      </c>
      <c r="B8">
        <f>_xlfn.STDEV.P(B2:B6)</f>
        <v>4.4899888641287289</v>
      </c>
      <c r="C8">
        <f>_xlfn.STDEV.P(C2:C6)</f>
        <v>9.1345497973353886</v>
      </c>
      <c r="D8">
        <f>_xlfn.STDEV.P(D2:D6)</f>
        <v>0</v>
      </c>
    </row>
    <row r="9" spans="1:4" x14ac:dyDescent="0.3">
      <c r="A9" s="1" t="s">
        <v>10</v>
      </c>
      <c r="B9">
        <v>256</v>
      </c>
      <c r="C9">
        <v>5463</v>
      </c>
      <c r="D9">
        <v>106496</v>
      </c>
    </row>
    <row r="10" spans="1:4" x14ac:dyDescent="0.3">
      <c r="A10" s="1" t="s">
        <v>11</v>
      </c>
      <c r="B10">
        <v>203</v>
      </c>
      <c r="C10">
        <v>5336</v>
      </c>
      <c r="D10">
        <v>102400</v>
      </c>
    </row>
    <row r="13" spans="1:4" x14ac:dyDescent="0.3">
      <c r="A13" s="1" t="s">
        <v>13</v>
      </c>
      <c r="B13" s="1" t="s">
        <v>0</v>
      </c>
      <c r="C13" s="1" t="s">
        <v>1</v>
      </c>
      <c r="D13" s="1" t="s">
        <v>2</v>
      </c>
    </row>
    <row r="14" spans="1:4" x14ac:dyDescent="0.3">
      <c r="A14" s="1" t="s">
        <v>3</v>
      </c>
      <c r="B14">
        <v>118</v>
      </c>
      <c r="C14">
        <v>4227</v>
      </c>
      <c r="D14">
        <v>126976</v>
      </c>
    </row>
    <row r="15" spans="1:4" x14ac:dyDescent="0.3">
      <c r="A15" s="1" t="s">
        <v>4</v>
      </c>
      <c r="B15">
        <v>107</v>
      </c>
      <c r="C15">
        <v>4241</v>
      </c>
      <c r="D15">
        <v>126976</v>
      </c>
    </row>
    <row r="16" spans="1:4" x14ac:dyDescent="0.3">
      <c r="A16" s="1" t="s">
        <v>5</v>
      </c>
      <c r="B16">
        <v>110</v>
      </c>
      <c r="C16">
        <v>4509</v>
      </c>
      <c r="D16">
        <v>126976</v>
      </c>
    </row>
    <row r="17" spans="1:4" x14ac:dyDescent="0.3">
      <c r="A17" s="1" t="s">
        <v>6</v>
      </c>
      <c r="B17">
        <v>111</v>
      </c>
      <c r="C17">
        <v>4241</v>
      </c>
      <c r="D17">
        <v>126976</v>
      </c>
    </row>
    <row r="18" spans="1:4" x14ac:dyDescent="0.3">
      <c r="A18" s="1" t="s">
        <v>7</v>
      </c>
      <c r="B18">
        <v>112</v>
      </c>
      <c r="C18">
        <v>4237</v>
      </c>
      <c r="D18">
        <v>126976</v>
      </c>
    </row>
    <row r="19" spans="1:4" x14ac:dyDescent="0.3">
      <c r="A19" s="1" t="s">
        <v>8</v>
      </c>
      <c r="B19">
        <f>AVERAGE(B14:B18)</f>
        <v>111.6</v>
      </c>
      <c r="C19">
        <f>AVERAGE(C14:C18)</f>
        <v>4291</v>
      </c>
      <c r="D19">
        <f>AVERAGE(D14:D18)</f>
        <v>126976</v>
      </c>
    </row>
    <row r="20" spans="1:4" x14ac:dyDescent="0.3">
      <c r="A20" s="1" t="s">
        <v>9</v>
      </c>
      <c r="B20">
        <f>_xlfn.STDEV.P(B14:B18)</f>
        <v>3.6110940170535581</v>
      </c>
      <c r="C20">
        <f>_xlfn.STDEV.P(C14:C18)</f>
        <v>109.12011730198974</v>
      </c>
      <c r="D20">
        <f>_xlfn.STDEV.P(D14:D18)</f>
        <v>0</v>
      </c>
    </row>
    <row r="21" spans="1:4" x14ac:dyDescent="0.3">
      <c r="A21" s="1" t="s">
        <v>10</v>
      </c>
      <c r="B21">
        <v>209</v>
      </c>
      <c r="C21">
        <v>4401</v>
      </c>
      <c r="D21">
        <v>106496</v>
      </c>
    </row>
    <row r="22" spans="1:4" x14ac:dyDescent="0.3">
      <c r="A22" s="1" t="s">
        <v>11</v>
      </c>
      <c r="B22">
        <v>154</v>
      </c>
      <c r="C22">
        <v>4399</v>
      </c>
      <c r="D22">
        <v>102343</v>
      </c>
    </row>
    <row r="25" spans="1:4" x14ac:dyDescent="0.3">
      <c r="A25" s="1" t="s">
        <v>22</v>
      </c>
      <c r="B25" s="1" t="s">
        <v>0</v>
      </c>
      <c r="C25" s="1" t="s">
        <v>1</v>
      </c>
      <c r="D25" s="1" t="s">
        <v>2</v>
      </c>
    </row>
    <row r="26" spans="1:4" x14ac:dyDescent="0.3">
      <c r="A26" s="1" t="s">
        <v>3</v>
      </c>
      <c r="B26">
        <v>108</v>
      </c>
      <c r="C26">
        <v>4269</v>
      </c>
      <c r="D26">
        <v>126976</v>
      </c>
    </row>
    <row r="27" spans="1:4" x14ac:dyDescent="0.3">
      <c r="A27" s="1" t="s">
        <v>4</v>
      </c>
      <c r="B27">
        <v>102</v>
      </c>
      <c r="C27">
        <v>4151</v>
      </c>
      <c r="D27">
        <v>126976</v>
      </c>
    </row>
    <row r="28" spans="1:4" x14ac:dyDescent="0.3">
      <c r="A28" s="1" t="s">
        <v>5</v>
      </c>
      <c r="B28">
        <v>105</v>
      </c>
      <c r="C28">
        <v>4309</v>
      </c>
      <c r="D28">
        <v>126976</v>
      </c>
    </row>
    <row r="29" spans="1:4" x14ac:dyDescent="0.3">
      <c r="A29" s="1" t="s">
        <v>6</v>
      </c>
      <c r="B29">
        <v>109</v>
      </c>
      <c r="C29">
        <v>4421</v>
      </c>
      <c r="D29">
        <v>126976</v>
      </c>
    </row>
    <row r="30" spans="1:4" x14ac:dyDescent="0.3">
      <c r="A30" s="1" t="s">
        <v>7</v>
      </c>
      <c r="B30">
        <v>104</v>
      </c>
      <c r="C30">
        <v>4247</v>
      </c>
      <c r="D30">
        <v>126976</v>
      </c>
    </row>
    <row r="31" spans="1:4" x14ac:dyDescent="0.3">
      <c r="A31" s="1" t="s">
        <v>8</v>
      </c>
      <c r="B31">
        <f>AVERAGE(B26:B30)</f>
        <v>105.6</v>
      </c>
      <c r="C31">
        <f>AVERAGE(C26:C30)</f>
        <v>4279.3999999999996</v>
      </c>
      <c r="D31">
        <f>AVERAGE(D26:D30)</f>
        <v>126976</v>
      </c>
    </row>
    <row r="32" spans="1:4" x14ac:dyDescent="0.3">
      <c r="A32" s="1" t="s">
        <v>9</v>
      </c>
      <c r="B32">
        <f>_xlfn.STDEV.P(B26:B30)</f>
        <v>2.5768197453450248</v>
      </c>
      <c r="C32">
        <f>_xlfn.STDEV.P(C26:C30)</f>
        <v>87.830746324962988</v>
      </c>
      <c r="D32">
        <f>_xlfn.STDEV.P(D26:D30)</f>
        <v>0</v>
      </c>
    </row>
    <row r="33" spans="1:4" x14ac:dyDescent="0.3">
      <c r="A33" s="1" t="s">
        <v>10</v>
      </c>
      <c r="B33">
        <v>206</v>
      </c>
      <c r="C33">
        <v>4387</v>
      </c>
      <c r="D33">
        <v>135412</v>
      </c>
    </row>
    <row r="34" spans="1:4" x14ac:dyDescent="0.3">
      <c r="A34" s="1" t="s">
        <v>11</v>
      </c>
      <c r="B34">
        <v>149</v>
      </c>
      <c r="C34">
        <v>4569</v>
      </c>
      <c r="D34">
        <v>133453</v>
      </c>
    </row>
    <row r="37" spans="1:4" x14ac:dyDescent="0.3">
      <c r="A37" s="1" t="s">
        <v>23</v>
      </c>
      <c r="B37" s="1" t="s">
        <v>0</v>
      </c>
      <c r="C37" s="1" t="s">
        <v>1</v>
      </c>
      <c r="D37" s="1" t="s">
        <v>2</v>
      </c>
    </row>
    <row r="38" spans="1:4" x14ac:dyDescent="0.3">
      <c r="A38" s="1" t="s">
        <v>3</v>
      </c>
      <c r="B38">
        <v>77</v>
      </c>
      <c r="C38">
        <v>3561</v>
      </c>
      <c r="D38">
        <v>2633728</v>
      </c>
    </row>
    <row r="39" spans="1:4" x14ac:dyDescent="0.3">
      <c r="A39" s="1" t="s">
        <v>4</v>
      </c>
      <c r="B39">
        <v>78</v>
      </c>
      <c r="C39">
        <v>3516</v>
      </c>
      <c r="D39">
        <v>2510848</v>
      </c>
    </row>
    <row r="40" spans="1:4" x14ac:dyDescent="0.3">
      <c r="A40" s="1" t="s">
        <v>5</v>
      </c>
      <c r="B40">
        <v>75</v>
      </c>
      <c r="C40">
        <v>3450</v>
      </c>
      <c r="D40">
        <v>2363392</v>
      </c>
    </row>
    <row r="41" spans="1:4" x14ac:dyDescent="0.3">
      <c r="A41" s="1" t="s">
        <v>6</v>
      </c>
      <c r="B41">
        <v>92</v>
      </c>
      <c r="C41">
        <v>3515</v>
      </c>
      <c r="D41">
        <v>2596864</v>
      </c>
    </row>
    <row r="42" spans="1:4" x14ac:dyDescent="0.3">
      <c r="A42" s="1" t="s">
        <v>7</v>
      </c>
      <c r="B42">
        <v>81</v>
      </c>
      <c r="C42">
        <v>3533</v>
      </c>
      <c r="D42">
        <v>2052096</v>
      </c>
    </row>
    <row r="43" spans="1:4" x14ac:dyDescent="0.3">
      <c r="A43" s="1" t="s">
        <v>8</v>
      </c>
      <c r="B43">
        <f>AVERAGE(B38:B42)</f>
        <v>80.599999999999994</v>
      </c>
      <c r="C43">
        <f>AVERAGE(C38:C42)</f>
        <v>3515</v>
      </c>
      <c r="D43">
        <f>AVERAGE(D38:D42)</f>
        <v>2431385.6000000001</v>
      </c>
    </row>
    <row r="44" spans="1:4" x14ac:dyDescent="0.3">
      <c r="A44" s="1" t="s">
        <v>9</v>
      </c>
      <c r="B44">
        <f>_xlfn.STDEV.P(B38:B42)</f>
        <v>6.0199667773169638</v>
      </c>
      <c r="C44">
        <f>_xlfn.STDEV.P(C38:C42)</f>
        <v>36.513011379506892</v>
      </c>
      <c r="D44">
        <f>_xlfn.STDEV.P(D38:D42)</f>
        <v>211245.61582537045</v>
      </c>
    </row>
    <row r="45" spans="1:4" x14ac:dyDescent="0.3">
      <c r="A45" s="1" t="s">
        <v>10</v>
      </c>
      <c r="B45">
        <v>144</v>
      </c>
      <c r="C45">
        <v>3522</v>
      </c>
      <c r="D45">
        <v>2002944</v>
      </c>
    </row>
    <row r="46" spans="1:4" x14ac:dyDescent="0.3">
      <c r="A46" s="1" t="s">
        <v>11</v>
      </c>
      <c r="B46">
        <v>118</v>
      </c>
      <c r="C46">
        <v>3565</v>
      </c>
      <c r="D46">
        <v>126976</v>
      </c>
    </row>
    <row r="49" spans="1:4" x14ac:dyDescent="0.3">
      <c r="A49" s="1" t="s">
        <v>33</v>
      </c>
      <c r="B49" s="1" t="s">
        <v>0</v>
      </c>
      <c r="C49" s="1" t="s">
        <v>1</v>
      </c>
      <c r="D49" s="1" t="s">
        <v>2</v>
      </c>
    </row>
    <row r="50" spans="1:4" x14ac:dyDescent="0.3">
      <c r="A50" s="1" t="s">
        <v>30</v>
      </c>
      <c r="B50">
        <f>AVERAGE(B7,B19,B31,B43)</f>
        <v>113.15</v>
      </c>
      <c r="C50">
        <f>AVERAGE(C7,C19,C31,C43)</f>
        <v>4441.5</v>
      </c>
      <c r="D50">
        <f>AVERAGE(D7,D19,D31,D43)</f>
        <v>695910.40000000002</v>
      </c>
    </row>
    <row r="51" spans="1:4" x14ac:dyDescent="0.3">
      <c r="A51" s="1" t="s">
        <v>10</v>
      </c>
      <c r="B51">
        <f t="shared" ref="B51:D52" si="0">AVERAGE(B9,B21,B33,B45)</f>
        <v>203.75</v>
      </c>
      <c r="C51">
        <f t="shared" si="0"/>
        <v>4443.25</v>
      </c>
      <c r="D51">
        <f t="shared" si="0"/>
        <v>587837</v>
      </c>
    </row>
    <row r="52" spans="1:4" x14ac:dyDescent="0.3">
      <c r="A52" s="1" t="s">
        <v>31</v>
      </c>
      <c r="B52">
        <f t="shared" si="0"/>
        <v>156</v>
      </c>
      <c r="C52">
        <f t="shared" si="0"/>
        <v>4467.25</v>
      </c>
      <c r="D52">
        <f t="shared" si="0"/>
        <v>116293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8AC2-2D86-48BF-887C-9803A2299DB7}">
  <dimension ref="A1:D53"/>
  <sheetViews>
    <sheetView workbookViewId="0">
      <selection activeCell="D1" sqref="D1"/>
    </sheetView>
  </sheetViews>
  <sheetFormatPr defaultRowHeight="14.4" x14ac:dyDescent="0.3"/>
  <cols>
    <col min="1" max="1" width="28.109375" customWidth="1"/>
    <col min="2" max="2" width="13.109375" customWidth="1"/>
    <col min="3" max="3" width="14.88671875" customWidth="1"/>
    <col min="4" max="4" width="22.44140625" customWidth="1"/>
  </cols>
  <sheetData>
    <row r="1" spans="1:4" x14ac:dyDescent="0.3">
      <c r="A1" s="1" t="s">
        <v>24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121</v>
      </c>
      <c r="C2">
        <v>3906</v>
      </c>
      <c r="D2">
        <v>2093056</v>
      </c>
    </row>
    <row r="3" spans="1:4" x14ac:dyDescent="0.3">
      <c r="A3" s="1" t="s">
        <v>4</v>
      </c>
      <c r="B3">
        <v>100</v>
      </c>
      <c r="C3">
        <v>3913</v>
      </c>
      <c r="D3">
        <v>2256896</v>
      </c>
    </row>
    <row r="4" spans="1:4" x14ac:dyDescent="0.3">
      <c r="A4" s="1" t="s">
        <v>5</v>
      </c>
      <c r="B4">
        <v>103</v>
      </c>
      <c r="C4">
        <v>3889</v>
      </c>
      <c r="D4">
        <v>2473984</v>
      </c>
    </row>
    <row r="5" spans="1:4" x14ac:dyDescent="0.3">
      <c r="A5" s="1" t="s">
        <v>6</v>
      </c>
      <c r="B5">
        <v>101</v>
      </c>
      <c r="C5">
        <v>3930</v>
      </c>
      <c r="D5">
        <v>2142208</v>
      </c>
    </row>
    <row r="6" spans="1:4" x14ac:dyDescent="0.3">
      <c r="A6" s="1" t="s">
        <v>7</v>
      </c>
      <c r="B6">
        <v>97</v>
      </c>
      <c r="C6">
        <v>3876</v>
      </c>
      <c r="D6">
        <v>2756608</v>
      </c>
    </row>
    <row r="7" spans="1:4" x14ac:dyDescent="0.3">
      <c r="A7" s="1" t="s">
        <v>8</v>
      </c>
      <c r="B7">
        <f>AVERAGE(B2:B6)</f>
        <v>104.4</v>
      </c>
      <c r="C7">
        <f>AVERAGE(C2:C6)</f>
        <v>3902.8</v>
      </c>
      <c r="D7">
        <f>AVERAGE(D2:D6)</f>
        <v>2344550.3999999999</v>
      </c>
    </row>
    <row r="8" spans="1:4" x14ac:dyDescent="0.3">
      <c r="A8" s="1" t="s">
        <v>9</v>
      </c>
      <c r="B8">
        <f>_xlfn.STDEV.P(B2:B6)</f>
        <v>8.5229103010650071</v>
      </c>
      <c r="C8">
        <f>_xlfn.STDEV.P(C2:C6)</f>
        <v>18.776581158453741</v>
      </c>
      <c r="D8">
        <f>_xlfn.STDEV.P(D2:D6)</f>
        <v>244302.96618551319</v>
      </c>
    </row>
    <row r="9" spans="1:4" x14ac:dyDescent="0.3">
      <c r="A9" s="1" t="s">
        <v>10</v>
      </c>
      <c r="B9">
        <v>177</v>
      </c>
      <c r="C9">
        <v>3878</v>
      </c>
      <c r="D9">
        <v>106496</v>
      </c>
    </row>
    <row r="10" spans="1:4" x14ac:dyDescent="0.3">
      <c r="A10" s="1" t="s">
        <v>11</v>
      </c>
      <c r="B10">
        <v>132</v>
      </c>
      <c r="C10">
        <v>3994</v>
      </c>
      <c r="D10">
        <v>131072</v>
      </c>
    </row>
    <row r="14" spans="1:4" x14ac:dyDescent="0.3">
      <c r="A14" s="1" t="s">
        <v>25</v>
      </c>
      <c r="B14" s="1" t="s">
        <v>0</v>
      </c>
      <c r="C14" s="1" t="s">
        <v>1</v>
      </c>
      <c r="D14" s="1" t="s">
        <v>2</v>
      </c>
    </row>
    <row r="15" spans="1:4" x14ac:dyDescent="0.3">
      <c r="A15" s="1" t="s">
        <v>3</v>
      </c>
      <c r="B15">
        <v>117</v>
      </c>
      <c r="C15">
        <v>4539</v>
      </c>
      <c r="D15">
        <v>2031616</v>
      </c>
    </row>
    <row r="16" spans="1:4" x14ac:dyDescent="0.3">
      <c r="A16" s="1" t="s">
        <v>4</v>
      </c>
      <c r="B16">
        <v>135</v>
      </c>
      <c r="C16">
        <v>4620</v>
      </c>
      <c r="D16">
        <v>2658304</v>
      </c>
    </row>
    <row r="17" spans="1:4" x14ac:dyDescent="0.3">
      <c r="A17" s="1" t="s">
        <v>5</v>
      </c>
      <c r="B17">
        <v>131</v>
      </c>
      <c r="C17">
        <v>4752</v>
      </c>
      <c r="D17">
        <v>2445312</v>
      </c>
    </row>
    <row r="18" spans="1:4" x14ac:dyDescent="0.3">
      <c r="A18" s="1" t="s">
        <v>6</v>
      </c>
      <c r="B18">
        <v>121</v>
      </c>
      <c r="C18">
        <v>4577</v>
      </c>
      <c r="D18">
        <v>2502656</v>
      </c>
    </row>
    <row r="19" spans="1:4" x14ac:dyDescent="0.3">
      <c r="A19" s="1" t="s">
        <v>7</v>
      </c>
      <c r="B19">
        <v>136</v>
      </c>
      <c r="C19">
        <v>4505</v>
      </c>
      <c r="D19">
        <v>2560000</v>
      </c>
    </row>
    <row r="20" spans="1:4" x14ac:dyDescent="0.3">
      <c r="A20" s="1" t="s">
        <v>8</v>
      </c>
      <c r="B20">
        <f>AVERAGE(B15:B19)</f>
        <v>128</v>
      </c>
      <c r="C20">
        <f>AVERAGE(C15:C19)</f>
        <v>4598.6000000000004</v>
      </c>
      <c r="D20">
        <f>AVERAGE(D15:D19)</f>
        <v>2439577.6000000001</v>
      </c>
    </row>
    <row r="21" spans="1:4" x14ac:dyDescent="0.3">
      <c r="A21" s="1" t="s">
        <v>9</v>
      </c>
      <c r="B21">
        <f>_xlfn.STDEV.P(B15:B19)</f>
        <v>7.6419892698171203</v>
      </c>
      <c r="C21">
        <f>_xlfn.STDEV.P(C15:C19)</f>
        <v>85.754533407861302</v>
      </c>
      <c r="D21">
        <f>_xlfn.STDEV.P(D15:D19)</f>
        <v>215771.74395328041</v>
      </c>
    </row>
    <row r="22" spans="1:4" x14ac:dyDescent="0.3">
      <c r="A22" s="1" t="s">
        <v>10</v>
      </c>
      <c r="B22">
        <v>235</v>
      </c>
      <c r="C22">
        <v>4435</v>
      </c>
      <c r="D22">
        <v>106496</v>
      </c>
    </row>
    <row r="23" spans="1:4" x14ac:dyDescent="0.3">
      <c r="A23" s="1" t="s">
        <v>11</v>
      </c>
      <c r="B23">
        <v>203</v>
      </c>
      <c r="C23">
        <v>4687</v>
      </c>
      <c r="D23">
        <v>102400</v>
      </c>
    </row>
    <row r="26" spans="1:4" x14ac:dyDescent="0.3">
      <c r="A26" s="1" t="s">
        <v>26</v>
      </c>
      <c r="B26" s="1" t="s">
        <v>0</v>
      </c>
      <c r="C26" s="1" t="s">
        <v>1</v>
      </c>
      <c r="D26" s="1" t="s">
        <v>2</v>
      </c>
    </row>
    <row r="27" spans="1:4" x14ac:dyDescent="0.3">
      <c r="A27" s="1" t="s">
        <v>3</v>
      </c>
      <c r="B27">
        <v>114</v>
      </c>
      <c r="C27">
        <v>4130</v>
      </c>
      <c r="D27">
        <v>2093433</v>
      </c>
    </row>
    <row r="28" spans="1:4" x14ac:dyDescent="0.3">
      <c r="A28" s="1" t="s">
        <v>4</v>
      </c>
      <c r="B28">
        <v>87</v>
      </c>
      <c r="C28">
        <v>4024</v>
      </c>
      <c r="D28">
        <v>2232696</v>
      </c>
    </row>
    <row r="29" spans="1:4" x14ac:dyDescent="0.3">
      <c r="A29" s="1" t="s">
        <v>5</v>
      </c>
      <c r="B29">
        <v>99</v>
      </c>
      <c r="C29">
        <v>4126</v>
      </c>
      <c r="D29">
        <v>2478231</v>
      </c>
    </row>
    <row r="30" spans="1:4" x14ac:dyDescent="0.3">
      <c r="A30" s="1" t="s">
        <v>6</v>
      </c>
      <c r="B30">
        <v>84</v>
      </c>
      <c r="C30">
        <v>3876</v>
      </c>
      <c r="D30">
        <v>2242208</v>
      </c>
    </row>
    <row r="31" spans="1:4" x14ac:dyDescent="0.3">
      <c r="A31" s="1" t="s">
        <v>7</v>
      </c>
      <c r="B31">
        <v>90</v>
      </c>
      <c r="C31">
        <v>4120</v>
      </c>
      <c r="D31">
        <v>275643</v>
      </c>
    </row>
    <row r="32" spans="1:4" x14ac:dyDescent="0.3">
      <c r="A32" s="1" t="s">
        <v>8</v>
      </c>
      <c r="B32">
        <f>AVERAGE(B27:B31)</f>
        <v>94.8</v>
      </c>
      <c r="C32">
        <f>AVERAGE(C27:C31)</f>
        <v>4055.2</v>
      </c>
      <c r="D32">
        <f>AVERAGE(D27:D31)</f>
        <v>1864442.2</v>
      </c>
    </row>
    <row r="33" spans="1:4" x14ac:dyDescent="0.3">
      <c r="A33" s="1" t="s">
        <v>9</v>
      </c>
      <c r="B33">
        <f>_xlfn.STDEV.P(B27:B31)</f>
        <v>10.833282051160673</v>
      </c>
      <c r="C33">
        <f>_xlfn.STDEV.P(C27:C31)</f>
        <v>97.870118013620484</v>
      </c>
      <c r="D33">
        <f>_xlfn.STDEV.P(D27:D31)</f>
        <v>803961.9687864345</v>
      </c>
    </row>
    <row r="34" spans="1:4" x14ac:dyDescent="0.3">
      <c r="A34" s="1" t="s">
        <v>10</v>
      </c>
      <c r="B34">
        <v>156</v>
      </c>
      <c r="C34">
        <v>4230</v>
      </c>
      <c r="D34">
        <v>105345</v>
      </c>
    </row>
    <row r="35" spans="1:4" x14ac:dyDescent="0.3">
      <c r="A35" s="1" t="s">
        <v>11</v>
      </c>
      <c r="B35">
        <v>119</v>
      </c>
      <c r="C35">
        <v>4356</v>
      </c>
      <c r="D35">
        <v>135362</v>
      </c>
    </row>
    <row r="36" spans="1:4" x14ac:dyDescent="0.3">
      <c r="A36" s="1"/>
    </row>
    <row r="38" spans="1:4" x14ac:dyDescent="0.3">
      <c r="A38" s="1" t="s">
        <v>27</v>
      </c>
      <c r="B38" s="1" t="s">
        <v>0</v>
      </c>
      <c r="C38" s="1" t="s">
        <v>1</v>
      </c>
      <c r="D38" s="1" t="s">
        <v>2</v>
      </c>
    </row>
    <row r="39" spans="1:4" x14ac:dyDescent="0.3">
      <c r="A39" s="1" t="s">
        <v>3</v>
      </c>
      <c r="B39">
        <v>105</v>
      </c>
      <c r="C39">
        <v>4024</v>
      </c>
      <c r="D39">
        <v>2023235</v>
      </c>
    </row>
    <row r="40" spans="1:4" x14ac:dyDescent="0.3">
      <c r="A40" s="1" t="s">
        <v>4</v>
      </c>
      <c r="B40">
        <v>79</v>
      </c>
      <c r="C40">
        <v>3876</v>
      </c>
      <c r="D40">
        <v>2123956</v>
      </c>
    </row>
    <row r="41" spans="1:4" x14ac:dyDescent="0.3">
      <c r="A41" s="1" t="s">
        <v>5</v>
      </c>
      <c r="B41">
        <v>91</v>
      </c>
      <c r="C41">
        <v>4008</v>
      </c>
      <c r="D41">
        <v>2472323</v>
      </c>
    </row>
    <row r="42" spans="1:4" x14ac:dyDescent="0.3">
      <c r="A42" s="1" t="s">
        <v>6</v>
      </c>
      <c r="B42">
        <v>72</v>
      </c>
      <c r="C42">
        <v>3790</v>
      </c>
      <c r="D42">
        <v>2226308</v>
      </c>
    </row>
    <row r="43" spans="1:4" x14ac:dyDescent="0.3">
      <c r="A43" s="1" t="s">
        <v>7</v>
      </c>
      <c r="B43">
        <v>84</v>
      </c>
      <c r="C43">
        <v>4087</v>
      </c>
      <c r="D43">
        <v>2645443</v>
      </c>
    </row>
    <row r="44" spans="1:4" x14ac:dyDescent="0.3">
      <c r="A44" s="1" t="s">
        <v>8</v>
      </c>
      <c r="B44">
        <f>AVERAGE(B39:B43)</f>
        <v>86.2</v>
      </c>
      <c r="C44">
        <f>AVERAGE(C39:C43)</f>
        <v>3957</v>
      </c>
      <c r="D44">
        <f>AVERAGE(D39:D43)</f>
        <v>2298253</v>
      </c>
    </row>
    <row r="45" spans="1:4" x14ac:dyDescent="0.3">
      <c r="A45" s="1" t="s">
        <v>9</v>
      </c>
      <c r="B45">
        <f>_xlfn.STDEV.P(B39:B43)</f>
        <v>11.267652816802618</v>
      </c>
      <c r="C45">
        <f>_xlfn.STDEV.P(C39:C43)</f>
        <v>108.11105401391663</v>
      </c>
      <c r="D45">
        <f>_xlfn.STDEV.P(D39:D43)</f>
        <v>228924.30563747484</v>
      </c>
    </row>
    <row r="46" spans="1:4" x14ac:dyDescent="0.3">
      <c r="A46" s="1" t="s">
        <v>10</v>
      </c>
      <c r="B46">
        <v>146</v>
      </c>
      <c r="C46">
        <v>4123</v>
      </c>
      <c r="D46">
        <v>104465</v>
      </c>
    </row>
    <row r="47" spans="1:4" x14ac:dyDescent="0.3">
      <c r="A47" s="1" t="s">
        <v>11</v>
      </c>
      <c r="B47">
        <v>112</v>
      </c>
      <c r="C47">
        <v>4099</v>
      </c>
      <c r="D47">
        <v>123762</v>
      </c>
    </row>
    <row r="50" spans="1:4" x14ac:dyDescent="0.3">
      <c r="A50" s="1" t="s">
        <v>34</v>
      </c>
      <c r="B50" s="1" t="s">
        <v>0</v>
      </c>
      <c r="C50" s="1" t="s">
        <v>1</v>
      </c>
      <c r="D50" s="1" t="s">
        <v>2</v>
      </c>
    </row>
    <row r="51" spans="1:4" x14ac:dyDescent="0.3">
      <c r="A51" s="1" t="s">
        <v>30</v>
      </c>
      <c r="B51">
        <f>AVERAGE(B7,B20,B32,B44)</f>
        <v>103.35</v>
      </c>
      <c r="C51">
        <f>AVERAGE(C7,C20,C32,C44)</f>
        <v>4128.4000000000005</v>
      </c>
      <c r="D51">
        <f>AVERAGE(D7,D20,D32,D44)</f>
        <v>2236705.7999999998</v>
      </c>
    </row>
    <row r="52" spans="1:4" x14ac:dyDescent="0.3">
      <c r="A52" s="1" t="s">
        <v>10</v>
      </c>
      <c r="B52">
        <f t="shared" ref="B52:D53" si="0">AVERAGE(B9,B22,B34,B46)</f>
        <v>178.5</v>
      </c>
      <c r="C52">
        <f t="shared" si="0"/>
        <v>4166.5</v>
      </c>
      <c r="D52">
        <f t="shared" si="0"/>
        <v>105700.5</v>
      </c>
    </row>
    <row r="53" spans="1:4" x14ac:dyDescent="0.3">
      <c r="A53" s="1" t="s">
        <v>31</v>
      </c>
      <c r="B53">
        <f t="shared" si="0"/>
        <v>141.5</v>
      </c>
      <c r="C53">
        <f t="shared" si="0"/>
        <v>4284</v>
      </c>
      <c r="D53">
        <f t="shared" si="0"/>
        <v>123149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02F-D506-4019-A5AF-DA7228E7C201}">
  <dimension ref="A1:D46"/>
  <sheetViews>
    <sheetView topLeftCell="A35" workbookViewId="0">
      <selection activeCell="E59" sqref="E59"/>
    </sheetView>
  </sheetViews>
  <sheetFormatPr defaultRowHeight="14.4" x14ac:dyDescent="0.3"/>
  <cols>
    <col min="1" max="1" width="24.77734375" customWidth="1"/>
    <col min="2" max="2" width="13.88671875" customWidth="1"/>
    <col min="3" max="3" width="15.21875" customWidth="1"/>
    <col min="4" max="6" width="18.33203125" customWidth="1"/>
  </cols>
  <sheetData>
    <row r="1" spans="1:4" x14ac:dyDescent="0.3">
      <c r="A1" s="1" t="s">
        <v>28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204</v>
      </c>
      <c r="C2">
        <v>7276</v>
      </c>
      <c r="D2">
        <v>1966080</v>
      </c>
    </row>
    <row r="3" spans="1:4" x14ac:dyDescent="0.3">
      <c r="A3" s="1" t="s">
        <v>4</v>
      </c>
      <c r="B3">
        <v>239</v>
      </c>
      <c r="C3">
        <v>7301</v>
      </c>
      <c r="D3">
        <v>2748416</v>
      </c>
    </row>
    <row r="4" spans="1:4" x14ac:dyDescent="0.3">
      <c r="A4" s="1" t="s">
        <v>5</v>
      </c>
      <c r="B4">
        <v>243</v>
      </c>
      <c r="C4">
        <v>7161</v>
      </c>
      <c r="D4">
        <v>2170880</v>
      </c>
    </row>
    <row r="5" spans="1:4" x14ac:dyDescent="0.3">
      <c r="A5" s="1" t="s">
        <v>6</v>
      </c>
      <c r="B5">
        <v>219</v>
      </c>
      <c r="C5">
        <v>7155</v>
      </c>
      <c r="D5">
        <v>2658304</v>
      </c>
    </row>
    <row r="6" spans="1:4" x14ac:dyDescent="0.3">
      <c r="A6" s="1" t="s">
        <v>7</v>
      </c>
      <c r="B6">
        <v>206</v>
      </c>
      <c r="C6">
        <v>7307</v>
      </c>
      <c r="D6">
        <v>2576384</v>
      </c>
    </row>
    <row r="7" spans="1:4" x14ac:dyDescent="0.3">
      <c r="A7" s="1" t="s">
        <v>8</v>
      </c>
      <c r="B7">
        <f>AVERAGE(B2:B6)</f>
        <v>222.2</v>
      </c>
      <c r="C7">
        <f>AVERAGE(C2:C6)</f>
        <v>7240</v>
      </c>
      <c r="D7">
        <f>AVERAGE(D2:D6)</f>
        <v>2424012.7999999998</v>
      </c>
    </row>
    <row r="8" spans="1:4" x14ac:dyDescent="0.3">
      <c r="A8" s="1" t="s">
        <v>9</v>
      </c>
      <c r="B8">
        <f>_xlfn.STDEV.P(B2:B6)</f>
        <v>16.240689640529432</v>
      </c>
      <c r="C8">
        <f>_xlfn.STDEV.P(C2:C6)</f>
        <v>67.782003511256576</v>
      </c>
      <c r="D8">
        <f>_xlfn.STDEV.P(D2:D6)</f>
        <v>302365.82112031116</v>
      </c>
    </row>
    <row r="9" spans="1:4" x14ac:dyDescent="0.3">
      <c r="A9" s="1" t="s">
        <v>10</v>
      </c>
      <c r="B9">
        <v>379</v>
      </c>
      <c r="C9">
        <v>6991</v>
      </c>
      <c r="D9">
        <v>139264</v>
      </c>
    </row>
    <row r="10" spans="1:4" x14ac:dyDescent="0.3">
      <c r="A10" s="1" t="s">
        <v>11</v>
      </c>
      <c r="B10">
        <v>363</v>
      </c>
      <c r="C10">
        <v>7627</v>
      </c>
      <c r="D10">
        <v>139264</v>
      </c>
    </row>
    <row r="13" spans="1:4" x14ac:dyDescent="0.3">
      <c r="A13" s="1" t="s">
        <v>35</v>
      </c>
      <c r="B13" s="1" t="s">
        <v>0</v>
      </c>
      <c r="C13" s="1" t="s">
        <v>1</v>
      </c>
      <c r="D13" s="1" t="s">
        <v>2</v>
      </c>
    </row>
    <row r="14" spans="1:4" x14ac:dyDescent="0.3">
      <c r="A14" s="1" t="s">
        <v>3</v>
      </c>
      <c r="B14">
        <v>223</v>
      </c>
      <c r="C14">
        <v>7356</v>
      </c>
      <c r="D14">
        <v>2576384</v>
      </c>
    </row>
    <row r="15" spans="1:4" x14ac:dyDescent="0.3">
      <c r="A15" s="1" t="s">
        <v>4</v>
      </c>
      <c r="B15">
        <v>214</v>
      </c>
      <c r="C15">
        <v>7333</v>
      </c>
      <c r="D15">
        <v>2748416</v>
      </c>
    </row>
    <row r="16" spans="1:4" x14ac:dyDescent="0.3">
      <c r="A16" s="1" t="s">
        <v>5</v>
      </c>
      <c r="B16">
        <v>247</v>
      </c>
      <c r="C16">
        <v>7111</v>
      </c>
      <c r="D16">
        <v>2170880</v>
      </c>
    </row>
    <row r="17" spans="1:4" x14ac:dyDescent="0.3">
      <c r="A17" s="1" t="s">
        <v>6</v>
      </c>
      <c r="B17">
        <v>223</v>
      </c>
      <c r="C17">
        <v>7234</v>
      </c>
      <c r="D17">
        <v>2748416</v>
      </c>
    </row>
    <row r="18" spans="1:4" x14ac:dyDescent="0.3">
      <c r="A18" s="1" t="s">
        <v>7</v>
      </c>
      <c r="B18">
        <v>209</v>
      </c>
      <c r="C18">
        <v>7208</v>
      </c>
      <c r="D18">
        <v>2576384</v>
      </c>
    </row>
    <row r="19" spans="1:4" x14ac:dyDescent="0.3">
      <c r="A19" s="1" t="s">
        <v>8</v>
      </c>
      <c r="B19">
        <f>AVERAGE(B14:B18)</f>
        <v>223.2</v>
      </c>
      <c r="C19">
        <f>AVERAGE(C14:C18)</f>
        <v>7248.4</v>
      </c>
      <c r="D19">
        <f>AVERAGE(D14:D18)</f>
        <v>2564096</v>
      </c>
    </row>
    <row r="20" spans="1:4" x14ac:dyDescent="0.3">
      <c r="A20" s="1" t="s">
        <v>9</v>
      </c>
      <c r="B20">
        <f>_xlfn.STDEV.P(B14:B18)</f>
        <v>13.059862173851606</v>
      </c>
      <c r="C20">
        <f>_xlfn.STDEV.P(C14:C18)</f>
        <v>88.829274453864571</v>
      </c>
      <c r="D20">
        <f>_xlfn.STDEV.P(D14:D18)</f>
        <v>211124.86227064781</v>
      </c>
    </row>
    <row r="21" spans="1:4" x14ac:dyDescent="0.3">
      <c r="A21" s="1" t="s">
        <v>10</v>
      </c>
      <c r="B21">
        <v>388</v>
      </c>
      <c r="C21">
        <v>7120</v>
      </c>
      <c r="D21">
        <v>139264</v>
      </c>
    </row>
    <row r="22" spans="1:4" x14ac:dyDescent="0.3">
      <c r="A22" s="1" t="s">
        <v>11</v>
      </c>
      <c r="B22">
        <v>372</v>
      </c>
      <c r="C22">
        <v>7820</v>
      </c>
      <c r="D22">
        <v>139264</v>
      </c>
    </row>
    <row r="25" spans="1:4" x14ac:dyDescent="0.3">
      <c r="A25" s="1" t="s">
        <v>36</v>
      </c>
      <c r="B25" s="1" t="s">
        <v>0</v>
      </c>
      <c r="C25" s="1" t="s">
        <v>1</v>
      </c>
      <c r="D25" s="1" t="s">
        <v>2</v>
      </c>
    </row>
    <row r="26" spans="1:4" x14ac:dyDescent="0.3">
      <c r="A26" s="1" t="s">
        <v>3</v>
      </c>
      <c r="B26">
        <v>214</v>
      </c>
      <c r="C26">
        <v>7346</v>
      </c>
      <c r="D26">
        <v>1966080</v>
      </c>
    </row>
    <row r="27" spans="1:4" x14ac:dyDescent="0.3">
      <c r="A27" s="1" t="s">
        <v>4</v>
      </c>
      <c r="B27">
        <v>228</v>
      </c>
      <c r="C27">
        <v>7251</v>
      </c>
      <c r="D27">
        <v>2748416</v>
      </c>
    </row>
    <row r="28" spans="1:4" x14ac:dyDescent="0.3">
      <c r="A28" s="1" t="s">
        <v>5</v>
      </c>
      <c r="B28">
        <v>219</v>
      </c>
      <c r="C28">
        <v>7161</v>
      </c>
      <c r="D28">
        <v>2170880</v>
      </c>
    </row>
    <row r="29" spans="1:4" x14ac:dyDescent="0.3">
      <c r="A29" s="1" t="s">
        <v>6</v>
      </c>
      <c r="B29">
        <v>212</v>
      </c>
      <c r="C29">
        <v>7245</v>
      </c>
      <c r="D29">
        <v>2658304</v>
      </c>
    </row>
    <row r="30" spans="1:4" x14ac:dyDescent="0.3">
      <c r="A30" s="1" t="s">
        <v>7</v>
      </c>
      <c r="B30">
        <v>216</v>
      </c>
      <c r="C30">
        <v>7317</v>
      </c>
      <c r="D30">
        <v>2576384</v>
      </c>
    </row>
    <row r="31" spans="1:4" x14ac:dyDescent="0.3">
      <c r="A31" s="1" t="s">
        <v>8</v>
      </c>
      <c r="B31">
        <f>AVERAGE(B26:B30)</f>
        <v>217.8</v>
      </c>
      <c r="C31">
        <f>AVERAGE(C26:C30)</f>
        <v>7264</v>
      </c>
      <c r="D31">
        <f>AVERAGE(D26:D30)</f>
        <v>2424012.7999999998</v>
      </c>
    </row>
    <row r="32" spans="1:4" x14ac:dyDescent="0.3">
      <c r="A32" s="1" t="s">
        <v>9</v>
      </c>
      <c r="B32">
        <f>_xlfn.STDEV.P(B26:B30)</f>
        <v>5.6</v>
      </c>
      <c r="C32">
        <f>_xlfn.STDEV.P(C26:C30)</f>
        <v>64.299300151712373</v>
      </c>
      <c r="D32">
        <f>_xlfn.STDEV.P(D26:D30)</f>
        <v>302365.82112031116</v>
      </c>
    </row>
    <row r="33" spans="1:4" x14ac:dyDescent="0.3">
      <c r="A33" s="1" t="s">
        <v>10</v>
      </c>
      <c r="B33">
        <v>387</v>
      </c>
      <c r="C33">
        <v>7091</v>
      </c>
      <c r="D33">
        <v>139264</v>
      </c>
    </row>
    <row r="34" spans="1:4" x14ac:dyDescent="0.3">
      <c r="A34" s="1" t="s">
        <v>11</v>
      </c>
      <c r="B34">
        <v>368</v>
      </c>
      <c r="C34">
        <v>7756</v>
      </c>
      <c r="D34">
        <v>139264</v>
      </c>
    </row>
    <row r="37" spans="1:4" x14ac:dyDescent="0.3">
      <c r="A37" s="1" t="s">
        <v>37</v>
      </c>
      <c r="B37" s="1" t="s">
        <v>0</v>
      </c>
      <c r="C37" s="1" t="s">
        <v>1</v>
      </c>
      <c r="D37" s="1" t="s">
        <v>2</v>
      </c>
    </row>
    <row r="38" spans="1:4" x14ac:dyDescent="0.3">
      <c r="A38" s="1" t="s">
        <v>3</v>
      </c>
      <c r="B38">
        <v>207</v>
      </c>
      <c r="C38">
        <v>7183</v>
      </c>
      <c r="D38">
        <v>1966080</v>
      </c>
    </row>
    <row r="39" spans="1:4" x14ac:dyDescent="0.3">
      <c r="A39" s="1" t="s">
        <v>4</v>
      </c>
      <c r="B39">
        <v>243</v>
      </c>
      <c r="C39">
        <v>7200</v>
      </c>
      <c r="D39">
        <v>2743232</v>
      </c>
    </row>
    <row r="40" spans="1:4" x14ac:dyDescent="0.3">
      <c r="A40" s="1" t="s">
        <v>5</v>
      </c>
      <c r="B40">
        <v>237</v>
      </c>
      <c r="C40">
        <v>7054</v>
      </c>
      <c r="D40">
        <v>2748416</v>
      </c>
    </row>
    <row r="41" spans="1:4" x14ac:dyDescent="0.3">
      <c r="A41" s="1" t="s">
        <v>6</v>
      </c>
      <c r="B41">
        <v>229</v>
      </c>
      <c r="C41">
        <v>7045</v>
      </c>
      <c r="D41">
        <v>2658304</v>
      </c>
    </row>
    <row r="42" spans="1:4" x14ac:dyDescent="0.3">
      <c r="A42" s="1" t="s">
        <v>7</v>
      </c>
      <c r="B42">
        <v>202</v>
      </c>
      <c r="C42">
        <v>7337</v>
      </c>
      <c r="D42">
        <v>2170880</v>
      </c>
    </row>
    <row r="43" spans="1:4" x14ac:dyDescent="0.3">
      <c r="A43" s="1" t="s">
        <v>8</v>
      </c>
      <c r="B43">
        <f>AVERAGE(B38:B42)</f>
        <v>223.6</v>
      </c>
      <c r="C43">
        <f>AVERAGE(C38:C42)</f>
        <v>7163.8</v>
      </c>
      <c r="D43">
        <f>AVERAGE(D38:D42)</f>
        <v>2457382.4</v>
      </c>
    </row>
    <row r="44" spans="1:4" x14ac:dyDescent="0.3">
      <c r="A44" s="1" t="s">
        <v>9</v>
      </c>
      <c r="B44">
        <f>_xlfn.STDEV.P(B38:B42)</f>
        <v>16.292329483533042</v>
      </c>
      <c r="C44">
        <f>_xlfn.STDEV.P(C38:C42)</f>
        <v>107.56095946020564</v>
      </c>
      <c r="D44">
        <f>_xlfn.STDEV.P(D38:D42)</f>
        <v>325650.64500080451</v>
      </c>
    </row>
    <row r="45" spans="1:4" x14ac:dyDescent="0.3">
      <c r="A45" s="1" t="s">
        <v>10</v>
      </c>
      <c r="B45">
        <v>373</v>
      </c>
      <c r="C45">
        <v>7002</v>
      </c>
      <c r="D45">
        <v>139264</v>
      </c>
    </row>
    <row r="46" spans="1:4" x14ac:dyDescent="0.3">
      <c r="A46" s="1" t="s">
        <v>11</v>
      </c>
      <c r="B46">
        <v>366</v>
      </c>
      <c r="C46">
        <v>7773</v>
      </c>
      <c r="D46">
        <v>139264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 1</vt:lpstr>
      <vt:lpstr>Set 2</vt:lpstr>
      <vt:lpstr>Set 3</vt:lpstr>
      <vt:lpstr>Set 4</vt:lpstr>
      <vt:lpstr>Set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Radu Bobe</cp:lastModifiedBy>
  <dcterms:created xsi:type="dcterms:W3CDTF">2015-06-05T18:17:20Z</dcterms:created>
  <dcterms:modified xsi:type="dcterms:W3CDTF">2025-04-15T17:55:23Z</dcterms:modified>
</cp:coreProperties>
</file>