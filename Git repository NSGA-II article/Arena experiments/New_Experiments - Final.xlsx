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1\Desktop\Facultate\GA in robotics\Arena experiments\"/>
    </mc:Choice>
  </mc:AlternateContent>
  <xr:revisionPtr revIDLastSave="0" documentId="13_ncr:1_{A9BB5B49-4A85-4681-81AA-15F562EF81A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adius 0.8" sheetId="3" r:id="rId1"/>
    <sheet name="Radius 1" sheetId="2" r:id="rId2"/>
    <sheet name="Radius 1.2" sheetId="5" r:id="rId3"/>
    <sheet name="Radius 1.4" sheetId="4" r:id="rId4"/>
    <sheet name="Radius 1.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D56" i="6"/>
  <c r="C56" i="6"/>
  <c r="B56" i="6"/>
  <c r="D55" i="6"/>
  <c r="C55" i="6"/>
  <c r="B55" i="6"/>
  <c r="D44" i="6"/>
  <c r="C44" i="6"/>
  <c r="B44" i="6"/>
  <c r="D43" i="6"/>
  <c r="C43" i="6"/>
  <c r="B43" i="6"/>
  <c r="D32" i="6"/>
  <c r="C32" i="6"/>
  <c r="B32" i="6"/>
  <c r="D31" i="6"/>
  <c r="C31" i="6"/>
  <c r="B31" i="6"/>
  <c r="D20" i="6"/>
  <c r="C20" i="6"/>
  <c r="B20" i="6"/>
  <c r="D19" i="6"/>
  <c r="C19" i="6"/>
  <c r="B19" i="6"/>
  <c r="D8" i="6"/>
  <c r="C8" i="6"/>
  <c r="B8" i="6"/>
  <c r="D7" i="6"/>
  <c r="C7" i="6"/>
  <c r="B7" i="6"/>
  <c r="D55" i="5"/>
  <c r="D56" i="5" s="1"/>
  <c r="C55" i="5"/>
  <c r="C56" i="5" s="1"/>
  <c r="B55" i="5"/>
  <c r="B56" i="5" s="1"/>
  <c r="D44" i="5"/>
  <c r="D43" i="5"/>
  <c r="C43" i="5"/>
  <c r="C44" i="5" s="1"/>
  <c r="B43" i="5"/>
  <c r="B44" i="5" s="1"/>
  <c r="D32" i="5"/>
  <c r="C32" i="5"/>
  <c r="B32" i="5"/>
  <c r="D31" i="5"/>
  <c r="C31" i="5"/>
  <c r="B31" i="5"/>
  <c r="C19" i="5"/>
  <c r="C20" i="5"/>
  <c r="D20" i="5"/>
  <c r="B20" i="5"/>
  <c r="D19" i="5"/>
  <c r="B19" i="5"/>
  <c r="D8" i="5"/>
  <c r="C8" i="5"/>
  <c r="B8" i="5"/>
  <c r="D7" i="5"/>
  <c r="C7" i="5"/>
  <c r="B7" i="5"/>
  <c r="D53" i="4"/>
  <c r="C53" i="4"/>
  <c r="B53" i="4"/>
  <c r="D52" i="4"/>
  <c r="C52" i="4"/>
  <c r="B52" i="4"/>
  <c r="D42" i="4"/>
  <c r="C42" i="4"/>
  <c r="B42" i="4"/>
  <c r="D41" i="4"/>
  <c r="C41" i="4"/>
  <c r="B41" i="4"/>
  <c r="D30" i="4"/>
  <c r="C30" i="4"/>
  <c r="B30" i="4"/>
  <c r="D29" i="4"/>
  <c r="C29" i="4"/>
  <c r="B29" i="4"/>
  <c r="D19" i="4"/>
  <c r="C19" i="4"/>
  <c r="B19" i="4"/>
  <c r="D18" i="4"/>
  <c r="C18" i="4"/>
  <c r="B18" i="4"/>
  <c r="D8" i="4"/>
  <c r="C8" i="4"/>
  <c r="B8" i="4"/>
  <c r="D7" i="4"/>
  <c r="C7" i="4"/>
  <c r="B7" i="4"/>
  <c r="D54" i="3"/>
  <c r="D55" i="3" s="1"/>
  <c r="C54" i="3"/>
  <c r="C55" i="3" s="1"/>
  <c r="B54" i="3"/>
  <c r="B55" i="3" s="1"/>
  <c r="B43" i="3"/>
  <c r="B44" i="3" s="1"/>
  <c r="D43" i="3"/>
  <c r="D44" i="3" s="1"/>
  <c r="C43" i="3"/>
  <c r="C44" i="3" s="1"/>
  <c r="D32" i="3"/>
  <c r="D31" i="3"/>
  <c r="C32" i="3"/>
  <c r="C31" i="3"/>
  <c r="B32" i="3"/>
  <c r="B31" i="3"/>
  <c r="D20" i="3"/>
  <c r="C20" i="3"/>
  <c r="B20" i="3"/>
  <c r="D19" i="3"/>
  <c r="C19" i="3"/>
  <c r="B19" i="3"/>
  <c r="D8" i="3"/>
  <c r="C8" i="3"/>
  <c r="B8" i="3"/>
  <c r="D7" i="3"/>
  <c r="C7" i="3"/>
  <c r="D55" i="2"/>
  <c r="C55" i="2"/>
  <c r="B55" i="2"/>
  <c r="D54" i="2"/>
  <c r="C54" i="2"/>
  <c r="B54" i="2"/>
  <c r="D44" i="2"/>
  <c r="C44" i="2"/>
  <c r="B44" i="2"/>
  <c r="D43" i="2"/>
  <c r="C43" i="2"/>
  <c r="B43" i="2"/>
  <c r="B19" i="2"/>
  <c r="C19" i="2"/>
  <c r="D19" i="2"/>
  <c r="B20" i="2"/>
  <c r="C20" i="2"/>
  <c r="D20" i="2"/>
  <c r="D8" i="2"/>
  <c r="C8" i="2"/>
  <c r="B8" i="2"/>
  <c r="D7" i="2"/>
  <c r="C7" i="2"/>
  <c r="B7" i="2"/>
  <c r="D32" i="2"/>
  <c r="C32" i="2"/>
  <c r="B32" i="2"/>
  <c r="D31" i="2"/>
  <c r="C31" i="2"/>
  <c r="B31" i="2"/>
</calcChain>
</file>

<file path=xl/sharedStrings.xml><?xml version="1.0" encoding="utf-8"?>
<sst xmlns="http://schemas.openxmlformats.org/spreadsheetml/2006/main" count="585" uniqueCount="78">
  <si>
    <t xml:space="preserve">Obstacles: 7  Radius:1 </t>
  </si>
  <si>
    <t>NSGA RUN 1</t>
  </si>
  <si>
    <t>NSGA RUN 2</t>
  </si>
  <si>
    <t>NSGA RUN 3</t>
  </si>
  <si>
    <t xml:space="preserve">NSGA MEAN </t>
  </si>
  <si>
    <t>M5 REGRESSION MODEL</t>
  </si>
  <si>
    <t>M3 EMPIRICAL WEIGHTS</t>
  </si>
  <si>
    <t>TIME</t>
  </si>
  <si>
    <t>DISTANCE</t>
  </si>
  <si>
    <t>MEMORY</t>
  </si>
  <si>
    <t>Obs</t>
  </si>
  <si>
    <t>A iesit prin partea dreapta</t>
  </si>
  <si>
    <t>A iesit prin partea stanga</t>
  </si>
  <si>
    <t>S-a intors si a iesit pe unde a intrat</t>
  </si>
  <si>
    <t xml:space="preserve">Obstacles: 9  Radius:1 </t>
  </si>
  <si>
    <t>A iesit prin a doua iesire din stanga</t>
  </si>
  <si>
    <t xml:space="preserve">A iesit prin fata </t>
  </si>
  <si>
    <t xml:space="preserve">Obstacles: 5  Radius:1 </t>
  </si>
  <si>
    <t>Obstacles: 5  Radius:0.8</t>
  </si>
  <si>
    <t>Obstacles: 7  Radius:0.8</t>
  </si>
  <si>
    <t>A iesit prin a doua iesire din dreapta</t>
  </si>
  <si>
    <t>Obstacles: 9  Radius:0.8</t>
  </si>
  <si>
    <t>A iesit prin a doua iesire stanga</t>
  </si>
  <si>
    <t>Obstacles: 5  Radius:1.2</t>
  </si>
  <si>
    <t>Obstacles: 7  Radius:1.2</t>
  </si>
  <si>
    <t>Obstacles: 9  Radius:1.2</t>
  </si>
  <si>
    <t xml:space="preserve">A iesit prin partea stanga </t>
  </si>
  <si>
    <t>A iesit prin fata</t>
  </si>
  <si>
    <t>NSGA MEDIAN</t>
  </si>
  <si>
    <t>NSGA STD. DEVIATION</t>
  </si>
  <si>
    <t>NSGA RUN 4</t>
  </si>
  <si>
    <t>NSGA RUN 5</t>
  </si>
  <si>
    <t>Obstacles: 5  Radius:1.4</t>
  </si>
  <si>
    <t>A iesit prin prima iesire din dreapta</t>
  </si>
  <si>
    <t>Obstacles: 7  Radius:1.4</t>
  </si>
  <si>
    <t>A iesit prin stanga ultimului obstacol</t>
  </si>
  <si>
    <t>A iesit prin dreapta ultimului obstacol</t>
  </si>
  <si>
    <t>Obstacles: 9  Radius:1.4</t>
  </si>
  <si>
    <t>A iesit prin prima iesire din stanga</t>
  </si>
  <si>
    <t>A iesit pe unde a intrat</t>
  </si>
  <si>
    <t>Obstacles: 11  Radius:1.4</t>
  </si>
  <si>
    <t>Obstacles: 13 Radius:1.4</t>
  </si>
  <si>
    <t xml:space="preserve">Obstacles: 11  Radius:1 </t>
  </si>
  <si>
    <t xml:space="preserve">Obstacles: 13  Radius:1 </t>
  </si>
  <si>
    <t>A iesit prin dreapta-jos</t>
  </si>
  <si>
    <t xml:space="preserve">A iesit pe unde a intrat </t>
  </si>
  <si>
    <t>A iesit prin a treia iesire din dreapta</t>
  </si>
  <si>
    <t>Obstacles: 11  Radius:0.8</t>
  </si>
  <si>
    <t>Obstacles: 13  Radius:0.8</t>
  </si>
  <si>
    <t>A iesit prin dreapta jos</t>
  </si>
  <si>
    <t>Obstacles: 11  Radius:1.2</t>
  </si>
  <si>
    <t>A iesit prin stanga jos</t>
  </si>
  <si>
    <t>A iesit prin stanga sus</t>
  </si>
  <si>
    <t>Obstacles: 13  Radius:1.2</t>
  </si>
  <si>
    <t xml:space="preserve">A iesit prin dreapta jos </t>
  </si>
  <si>
    <t xml:space="preserve">A iesit prin stanga sus </t>
  </si>
  <si>
    <t>Obstacles: 5  Radius:1.6</t>
  </si>
  <si>
    <t>A iesit prin a doua iesire din stanga.</t>
  </si>
  <si>
    <t xml:space="preserve">A iesit prin prima iesire din dreapta </t>
  </si>
  <si>
    <t>Obstacles: 7  Radius:1.6</t>
  </si>
  <si>
    <t>S-a intors si a iesit prin prima iesire din dreapta</t>
  </si>
  <si>
    <t>Obstacles: 9  Radius:1.6</t>
  </si>
  <si>
    <t>S-a intors pe unde a intrat</t>
  </si>
  <si>
    <t xml:space="preserve">A iesit prin prima iesire din stanga </t>
  </si>
  <si>
    <t>Obstacles: 11  Radius:1.6</t>
  </si>
  <si>
    <t>Obstacles: 13  Radius:1.6</t>
  </si>
  <si>
    <t>S-a intors si a iesit prin prima iesire din stanga</t>
  </si>
  <si>
    <t>A iesit prin a patra iesire din dreapta</t>
  </si>
  <si>
    <t>S-a intors si a iesit prin dreapta jos</t>
  </si>
  <si>
    <t xml:space="preserve">S-a intors si a iesit prin dreapta </t>
  </si>
  <si>
    <t xml:space="preserve">A iesit prin a doua iesire din stanga </t>
  </si>
  <si>
    <t>NO (Number of obstacles)</t>
  </si>
  <si>
    <t>NSGA Time</t>
  </si>
  <si>
    <t>M5 REGRESSION MODEL Time</t>
  </si>
  <si>
    <t>M3 EMPIRICAL WEIGHTS TIME</t>
  </si>
  <si>
    <t xml:space="preserve">M5 REGRESSION MODEL </t>
  </si>
  <si>
    <t xml:space="preserve">NSGA </t>
  </si>
  <si>
    <t xml:space="preserve">M3 EMPIRICAL WEIGHTS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</si>
</sst>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</a:t>
            </a:r>
            <a:r>
              <a:rPr lang="en-US" baseline="0"/>
              <a:t>: 0.8m  Objective: time </a:t>
            </a:r>
            <a:endParaRPr lang="en-US"/>
          </a:p>
        </c:rich>
      </c:tx>
      <c:layout>
        <c:manualLayout>
          <c:xMode val="edge"/>
          <c:yMode val="edge"/>
          <c:x val="0.25671522309711287"/>
          <c:y val="7.8703703703703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5949256342957"/>
          <c:y val="0.22263888888888889"/>
          <c:w val="0.83129396325459315"/>
          <c:h val="0.44563174394867311"/>
        </c:manualLayout>
      </c:layout>
      <c:lineChart>
        <c:grouping val="standard"/>
        <c:varyColors val="0"/>
        <c:ser>
          <c:idx val="1"/>
          <c:order val="0"/>
          <c:tx>
            <c:strRef>
              <c:f>'Radius 0.8'!$B$60</c:f>
              <c:strCache>
                <c:ptCount val="1"/>
                <c:pt idx="0">
                  <c:v>NSGA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0.8'!$A$61:$A$65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0.8'!$B$61:$B$65</c:f>
              <c:numCache>
                <c:formatCode>General</c:formatCode>
                <c:ptCount val="5"/>
                <c:pt idx="0">
                  <c:v>58.2</c:v>
                </c:pt>
                <c:pt idx="1">
                  <c:v>99.4</c:v>
                </c:pt>
                <c:pt idx="2">
                  <c:v>79.599999999999994</c:v>
                </c:pt>
                <c:pt idx="3">
                  <c:v>49.4</c:v>
                </c:pt>
                <c:pt idx="4">
                  <c:v>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3-4660-B668-08D753B59BD4}"/>
            </c:ext>
          </c:extLst>
        </c:ser>
        <c:ser>
          <c:idx val="2"/>
          <c:order val="1"/>
          <c:tx>
            <c:strRef>
              <c:f>'Radius 0.8'!$C$60</c:f>
              <c:strCache>
                <c:ptCount val="1"/>
                <c:pt idx="0">
                  <c:v>M5 REGRESSION MODEL 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0.8'!$A$61:$A$65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0.8'!$C$61:$C$65</c:f>
              <c:numCache>
                <c:formatCode>General</c:formatCode>
                <c:ptCount val="5"/>
                <c:pt idx="0">
                  <c:v>100</c:v>
                </c:pt>
                <c:pt idx="1">
                  <c:v>146</c:v>
                </c:pt>
                <c:pt idx="2">
                  <c:v>137</c:v>
                </c:pt>
                <c:pt idx="3">
                  <c:v>90</c:v>
                </c:pt>
                <c:pt idx="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03-4660-B668-08D753B59BD4}"/>
            </c:ext>
          </c:extLst>
        </c:ser>
        <c:ser>
          <c:idx val="3"/>
          <c:order val="2"/>
          <c:tx>
            <c:strRef>
              <c:f>'Radius 0.8'!$D$60</c:f>
              <c:strCache>
                <c:ptCount val="1"/>
                <c:pt idx="0">
                  <c:v>M3 EMPIRICAL WEIGHTS 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0.8'!$A$61:$A$65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0.8'!$D$61:$D$65</c:f>
              <c:numCache>
                <c:formatCode>General</c:formatCode>
                <c:ptCount val="5"/>
                <c:pt idx="0">
                  <c:v>75</c:v>
                </c:pt>
                <c:pt idx="1">
                  <c:v>116</c:v>
                </c:pt>
                <c:pt idx="2">
                  <c:v>78</c:v>
                </c:pt>
                <c:pt idx="3">
                  <c:v>45</c:v>
                </c:pt>
                <c:pt idx="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03-4660-B668-08D753B59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241839"/>
        <c:axId val="598240399"/>
      </c:lineChart>
      <c:catAx>
        <c:axId val="59824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obstacles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40399"/>
        <c:crosses val="autoZero"/>
        <c:auto val="0"/>
        <c:lblAlgn val="ctr"/>
        <c:lblOffset val="100"/>
        <c:tickLblSkip val="1"/>
        <c:noMultiLvlLbl val="0"/>
      </c:catAx>
      <c:valAx>
        <c:axId val="59824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4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</a:t>
            </a:r>
            <a:r>
              <a:rPr lang="en-US" baseline="0"/>
              <a:t> 0.8m Objective: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0.8'!$B$75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0.8'!$A$76:$A$80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0.8'!$B$76:$B$80</c:f>
              <c:numCache>
                <c:formatCode>General</c:formatCode>
                <c:ptCount val="5"/>
                <c:pt idx="0">
                  <c:v>973.8</c:v>
                </c:pt>
                <c:pt idx="1">
                  <c:v>1245.8</c:v>
                </c:pt>
                <c:pt idx="2">
                  <c:v>922.2</c:v>
                </c:pt>
                <c:pt idx="3">
                  <c:v>1223.8</c:v>
                </c:pt>
                <c:pt idx="4">
                  <c:v>1394.6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A8-4B2B-9722-1A8F10C084C5}"/>
            </c:ext>
          </c:extLst>
        </c:ser>
        <c:ser>
          <c:idx val="2"/>
          <c:order val="1"/>
          <c:tx>
            <c:strRef>
              <c:f>'Radius 0.8'!$C$75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0.8'!$A$76:$A$80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0.8'!$C$76:$C$80</c:f>
              <c:numCache>
                <c:formatCode>General</c:formatCode>
                <c:ptCount val="5"/>
                <c:pt idx="0">
                  <c:v>1010</c:v>
                </c:pt>
                <c:pt idx="1">
                  <c:v>1288</c:v>
                </c:pt>
                <c:pt idx="2">
                  <c:v>1056</c:v>
                </c:pt>
                <c:pt idx="3">
                  <c:v>1749</c:v>
                </c:pt>
                <c:pt idx="4">
                  <c:v>2044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A8-4B2B-9722-1A8F10C084C5}"/>
            </c:ext>
          </c:extLst>
        </c:ser>
        <c:ser>
          <c:idx val="3"/>
          <c:order val="2"/>
          <c:tx>
            <c:strRef>
              <c:f>'Radius 0.8'!$D$75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0.8'!$A$76:$A$80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0.8'!$D$76:$D$80</c:f>
              <c:numCache>
                <c:formatCode>General</c:formatCode>
                <c:ptCount val="5"/>
                <c:pt idx="0">
                  <c:v>1034</c:v>
                </c:pt>
                <c:pt idx="1">
                  <c:v>1068</c:v>
                </c:pt>
                <c:pt idx="2">
                  <c:v>1490</c:v>
                </c:pt>
                <c:pt idx="3">
                  <c:v>1456</c:v>
                </c:pt>
                <c:pt idx="4">
                  <c:v>1533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A8-4B2B-9722-1A8F10C08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79791"/>
        <c:axId val="262578831"/>
      </c:lineChart>
      <c:catAx>
        <c:axId val="26257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obstacles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78831"/>
        <c:crosses val="autoZero"/>
        <c:auto val="1"/>
        <c:lblAlgn val="ctr"/>
        <c:lblOffset val="100"/>
        <c:noMultiLvlLbl val="0"/>
      </c:catAx>
      <c:valAx>
        <c:axId val="26257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7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</a:t>
            </a:r>
            <a:r>
              <a:rPr lang="en-US" baseline="0"/>
              <a:t> 0.8 m Objective: memory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0.8'!$B$92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0.8'!$A$93:$A$97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0.8'!$B$93:$B$97</c:f>
              <c:numCache>
                <c:formatCode>General</c:formatCode>
                <c:ptCount val="5"/>
                <c:pt idx="0">
                  <c:v>2351923.2000000002</c:v>
                </c:pt>
                <c:pt idx="1">
                  <c:v>2442035.2000000002</c:v>
                </c:pt>
                <c:pt idx="2">
                  <c:v>2415001.6000000001</c:v>
                </c:pt>
                <c:pt idx="3">
                  <c:v>2564096</c:v>
                </c:pt>
                <c:pt idx="4">
                  <c:v>2649292.7999999998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8-4798-BAB0-EF00284C7FA0}"/>
            </c:ext>
          </c:extLst>
        </c:ser>
        <c:ser>
          <c:idx val="2"/>
          <c:order val="1"/>
          <c:tx>
            <c:strRef>
              <c:f>'Radius 0.8'!$C$92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730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0.8'!$A$93:$A$97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0.8'!$C$93:$C$97</c:f>
              <c:numCache>
                <c:formatCode>General</c:formatCode>
                <c:ptCount val="5"/>
                <c:pt idx="0">
                  <c:v>131072</c:v>
                </c:pt>
                <c:pt idx="1">
                  <c:v>98304</c:v>
                </c:pt>
                <c:pt idx="2">
                  <c:v>98317</c:v>
                </c:pt>
                <c:pt idx="3">
                  <c:v>131072</c:v>
                </c:pt>
                <c:pt idx="4">
                  <c:v>135168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D8-4798-BAB0-EF00284C7FA0}"/>
            </c:ext>
          </c:extLst>
        </c:ser>
        <c:ser>
          <c:idx val="3"/>
          <c:order val="2"/>
          <c:tx>
            <c:strRef>
              <c:f>'Radius 0.8'!$D$92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0.8'!$A$93:$A$97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0.8'!$D$93:$D$97</c:f>
              <c:numCache>
                <c:formatCode>General</c:formatCode>
                <c:ptCount val="5"/>
                <c:pt idx="0">
                  <c:v>122880</c:v>
                </c:pt>
                <c:pt idx="1">
                  <c:v>126976</c:v>
                </c:pt>
                <c:pt idx="2">
                  <c:v>126976</c:v>
                </c:pt>
                <c:pt idx="3">
                  <c:v>131072</c:v>
                </c:pt>
                <c:pt idx="4">
                  <c:v>131072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D8-4798-BAB0-EF00284C7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881663"/>
        <c:axId val="415879263"/>
      </c:lineChart>
      <c:catAx>
        <c:axId val="41588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obstacles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79263"/>
        <c:crosses val="autoZero"/>
        <c:auto val="1"/>
        <c:lblAlgn val="ctr"/>
        <c:lblOffset val="100"/>
        <c:noMultiLvlLbl val="0"/>
      </c:catAx>
      <c:valAx>
        <c:axId val="4158792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81663"/>
        <c:crosses val="autoZero"/>
        <c:crossBetween val="between"/>
        <c:majorUnit val="25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</a:t>
            </a:r>
            <a:r>
              <a:rPr lang="en-US" baseline="0"/>
              <a:t> 1m Objective: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1'!$B$60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1'!$A$61:$A$65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1'!$B$61:$B$65</c:f>
              <c:numCache>
                <c:formatCode>General</c:formatCode>
                <c:ptCount val="5"/>
                <c:pt idx="0">
                  <c:v>93.6</c:v>
                </c:pt>
                <c:pt idx="1">
                  <c:v>109.6</c:v>
                </c:pt>
                <c:pt idx="2">
                  <c:v>129</c:v>
                </c:pt>
                <c:pt idx="3">
                  <c:v>49.4</c:v>
                </c:pt>
                <c:pt idx="4">
                  <c:v>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DE-4911-BF64-D24D5D65E236}"/>
            </c:ext>
          </c:extLst>
        </c:ser>
        <c:ser>
          <c:idx val="2"/>
          <c:order val="1"/>
          <c:tx>
            <c:strRef>
              <c:f>'Radius 1'!$C$60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1'!$A$61:$A$65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1'!$C$61:$C$65</c:f>
              <c:numCache>
                <c:formatCode>General</c:formatCode>
                <c:ptCount val="5"/>
                <c:pt idx="0">
                  <c:v>142</c:v>
                </c:pt>
                <c:pt idx="1">
                  <c:v>142</c:v>
                </c:pt>
                <c:pt idx="2">
                  <c:v>193</c:v>
                </c:pt>
                <c:pt idx="3">
                  <c:v>65</c:v>
                </c:pt>
                <c:pt idx="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DE-4911-BF64-D24D5D65E236}"/>
            </c:ext>
          </c:extLst>
        </c:ser>
        <c:ser>
          <c:idx val="3"/>
          <c:order val="2"/>
          <c:tx>
            <c:strRef>
              <c:f>'Radius 1'!$D$60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1'!$A$61:$A$65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1'!$D$61:$D$65</c:f>
              <c:numCache>
                <c:formatCode>General</c:formatCode>
                <c:ptCount val="5"/>
                <c:pt idx="0">
                  <c:v>97</c:v>
                </c:pt>
                <c:pt idx="1">
                  <c:v>182</c:v>
                </c:pt>
                <c:pt idx="2">
                  <c:v>189</c:v>
                </c:pt>
                <c:pt idx="3">
                  <c:v>43</c:v>
                </c:pt>
                <c:pt idx="4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DE-4911-BF64-D24D5D65E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451935"/>
        <c:axId val="424050943"/>
      </c:lineChart>
      <c:catAx>
        <c:axId val="598451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obstacles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050943"/>
        <c:crosses val="autoZero"/>
        <c:auto val="1"/>
        <c:lblAlgn val="ctr"/>
        <c:lblOffset val="100"/>
        <c:noMultiLvlLbl val="0"/>
      </c:catAx>
      <c:valAx>
        <c:axId val="4240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45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 1m Objective: distance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1'!$B$76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1'!$A$77:$A$81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1'!$B$77:$B$81</c:f>
              <c:numCache>
                <c:formatCode>General</c:formatCode>
                <c:ptCount val="5"/>
                <c:pt idx="0">
                  <c:v>1290.5999999999999</c:v>
                </c:pt>
                <c:pt idx="1">
                  <c:v>1396.4</c:v>
                </c:pt>
                <c:pt idx="2">
                  <c:v>1409.6</c:v>
                </c:pt>
                <c:pt idx="3">
                  <c:v>1270.5999999999999</c:v>
                </c:pt>
                <c:pt idx="4">
                  <c:v>1729.6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A-4395-B92A-0CC582AA7172}"/>
            </c:ext>
          </c:extLst>
        </c:ser>
        <c:ser>
          <c:idx val="2"/>
          <c:order val="1"/>
          <c:tx>
            <c:strRef>
              <c:f>'Radius 1'!$C$76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1'!$A$77:$A$81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1'!$C$77:$C$81</c:f>
              <c:numCache>
                <c:formatCode>General</c:formatCode>
                <c:ptCount val="5"/>
                <c:pt idx="0">
                  <c:v>1227</c:v>
                </c:pt>
                <c:pt idx="1">
                  <c:v>1368</c:v>
                </c:pt>
                <c:pt idx="2">
                  <c:v>1815</c:v>
                </c:pt>
                <c:pt idx="3">
                  <c:v>1458</c:v>
                </c:pt>
                <c:pt idx="4">
                  <c:v>1786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6A-4395-B92A-0CC582AA7172}"/>
            </c:ext>
          </c:extLst>
        </c:ser>
        <c:ser>
          <c:idx val="3"/>
          <c:order val="2"/>
          <c:tx>
            <c:strRef>
              <c:f>'Radius 1'!$D$76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1'!$A$77:$A$81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1'!$D$77:$D$81</c:f>
              <c:numCache>
                <c:formatCode>General</c:formatCode>
                <c:ptCount val="5"/>
                <c:pt idx="0">
                  <c:v>1254</c:v>
                </c:pt>
                <c:pt idx="1">
                  <c:v>2354</c:v>
                </c:pt>
                <c:pt idx="2">
                  <c:v>2354</c:v>
                </c:pt>
                <c:pt idx="3">
                  <c:v>1188</c:v>
                </c:pt>
                <c:pt idx="4">
                  <c:v>1485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6A-4395-B92A-0CC582AA7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500143"/>
        <c:axId val="578499663"/>
      </c:lineChart>
      <c:catAx>
        <c:axId val="578500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obstacles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99663"/>
        <c:crosses val="autoZero"/>
        <c:auto val="1"/>
        <c:lblAlgn val="ctr"/>
        <c:lblOffset val="100"/>
        <c:noMultiLvlLbl val="0"/>
      </c:catAx>
      <c:valAx>
        <c:axId val="57849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0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Radius:1 Objective: memory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1'!$B$91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1'!$A$92:$A$96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1'!$B$92:$B$96</c:f>
              <c:numCache>
                <c:formatCode>General</c:formatCode>
                <c:ptCount val="5"/>
                <c:pt idx="0">
                  <c:v>2250342.3999999999</c:v>
                </c:pt>
                <c:pt idx="1">
                  <c:v>2573926.3999999999</c:v>
                </c:pt>
                <c:pt idx="2">
                  <c:v>2256076.7999999998</c:v>
                </c:pt>
                <c:pt idx="3">
                  <c:v>2489548.7999999998</c:v>
                </c:pt>
                <c:pt idx="4">
                  <c:v>2551808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E-4233-877D-40127A641135}"/>
            </c:ext>
          </c:extLst>
        </c:ser>
        <c:ser>
          <c:idx val="2"/>
          <c:order val="1"/>
          <c:tx>
            <c:strRef>
              <c:f>'Radius 1'!$C$91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1'!$A$92:$A$96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1'!$C$92:$C$96</c:f>
              <c:numCache>
                <c:formatCode>General</c:formatCode>
                <c:ptCount val="5"/>
                <c:pt idx="0">
                  <c:v>98304</c:v>
                </c:pt>
                <c:pt idx="1">
                  <c:v>98304</c:v>
                </c:pt>
                <c:pt idx="2">
                  <c:v>98304</c:v>
                </c:pt>
                <c:pt idx="3">
                  <c:v>126976</c:v>
                </c:pt>
                <c:pt idx="4">
                  <c:v>126976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BE-4233-877D-40127A641135}"/>
            </c:ext>
          </c:extLst>
        </c:ser>
        <c:ser>
          <c:idx val="3"/>
          <c:order val="2"/>
          <c:tx>
            <c:strRef>
              <c:f>'Radius 1'!$D$91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31750" cap="rnd">
              <a:solidFill>
                <a:schemeClr val="accent4">
                  <a:alpha val="51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1'!$A$92:$A$96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1'!$D$92:$D$96</c:f>
              <c:numCache>
                <c:formatCode>General</c:formatCode>
                <c:ptCount val="5"/>
                <c:pt idx="0">
                  <c:v>131072</c:v>
                </c:pt>
                <c:pt idx="1">
                  <c:v>98304</c:v>
                </c:pt>
                <c:pt idx="2">
                  <c:v>98304</c:v>
                </c:pt>
                <c:pt idx="3">
                  <c:v>131072</c:v>
                </c:pt>
                <c:pt idx="4">
                  <c:v>134822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BE-4233-877D-40127A641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663519"/>
        <c:axId val="599665439"/>
      </c:lineChart>
      <c:catAx>
        <c:axId val="59966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obstacles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65439"/>
        <c:crosses val="autoZero"/>
        <c:auto val="1"/>
        <c:lblAlgn val="ctr"/>
        <c:lblOffset val="100"/>
        <c:noMultiLvlLbl val="0"/>
      </c:catAx>
      <c:valAx>
        <c:axId val="5996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63519"/>
        <c:crosses val="autoZero"/>
        <c:crossBetween val="between"/>
        <c:majorUnit val="25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</a:t>
            </a:r>
            <a:r>
              <a:rPr lang="en-US" baseline="0"/>
              <a:t>: 1.2 Objective: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1.2'!$B$61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1.2'!$A$62:$A$66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1.2'!$B$62:$B$66</c:f>
              <c:numCache>
                <c:formatCode>General</c:formatCode>
                <c:ptCount val="5"/>
                <c:pt idx="0">
                  <c:v>44.8</c:v>
                </c:pt>
                <c:pt idx="1">
                  <c:v>69.8</c:v>
                </c:pt>
                <c:pt idx="2">
                  <c:v>102.2</c:v>
                </c:pt>
                <c:pt idx="3">
                  <c:v>45.2</c:v>
                </c:pt>
                <c:pt idx="4">
                  <c:v>96.4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6-4DA6-9B70-F0B35EBADE3A}"/>
            </c:ext>
          </c:extLst>
        </c:ser>
        <c:ser>
          <c:idx val="2"/>
          <c:order val="1"/>
          <c:tx>
            <c:strRef>
              <c:f>'Radius 1.2'!$C$61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1.2'!$A$62:$A$66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1.2'!$C$62:$C$66</c:f>
              <c:numCache>
                <c:formatCode>General</c:formatCode>
                <c:ptCount val="5"/>
                <c:pt idx="0">
                  <c:v>84</c:v>
                </c:pt>
                <c:pt idx="1">
                  <c:v>115</c:v>
                </c:pt>
                <c:pt idx="2">
                  <c:v>127</c:v>
                </c:pt>
                <c:pt idx="3">
                  <c:v>67</c:v>
                </c:pt>
                <c:pt idx="4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B6-4DA6-9B70-F0B35EBADE3A}"/>
            </c:ext>
          </c:extLst>
        </c:ser>
        <c:ser>
          <c:idx val="3"/>
          <c:order val="2"/>
          <c:tx>
            <c:strRef>
              <c:f>'Radius 1.2'!$D$61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1.2'!$A$62:$A$66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1.2'!$D$62:$D$66</c:f>
              <c:numCache>
                <c:formatCode>General</c:formatCode>
                <c:ptCount val="5"/>
                <c:pt idx="0">
                  <c:v>67</c:v>
                </c:pt>
                <c:pt idx="1">
                  <c:v>74</c:v>
                </c:pt>
                <c:pt idx="2">
                  <c:v>105</c:v>
                </c:pt>
                <c:pt idx="3">
                  <c:v>66</c:v>
                </c:pt>
                <c:pt idx="4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B6-4DA6-9B70-F0B35EBAD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744847"/>
        <c:axId val="630744367"/>
      </c:lineChart>
      <c:catAx>
        <c:axId val="63074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obstacles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44367"/>
        <c:crosses val="autoZero"/>
        <c:auto val="1"/>
        <c:lblAlgn val="ctr"/>
        <c:lblOffset val="100"/>
        <c:noMultiLvlLbl val="0"/>
      </c:catAx>
      <c:valAx>
        <c:axId val="63074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4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 1.2 Objective:</a:t>
            </a:r>
            <a:r>
              <a:rPr lang="en-US" baseline="0"/>
              <a:t>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1.2'!$B$77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1.2'!$A$78:$A$82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1.2'!$B$78:$B$82</c:f>
              <c:numCache>
                <c:formatCode>General</c:formatCode>
                <c:ptCount val="5"/>
                <c:pt idx="0">
                  <c:v>1158</c:v>
                </c:pt>
                <c:pt idx="1">
                  <c:v>1409.8</c:v>
                </c:pt>
                <c:pt idx="2">
                  <c:v>1878.8</c:v>
                </c:pt>
                <c:pt idx="3">
                  <c:v>1683.4</c:v>
                </c:pt>
                <c:pt idx="4">
                  <c:v>1767.8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F-402E-8E5F-AB9B42F32128}"/>
            </c:ext>
          </c:extLst>
        </c:ser>
        <c:ser>
          <c:idx val="2"/>
          <c:order val="1"/>
          <c:tx>
            <c:strRef>
              <c:f>'Radius 1.2'!$C$77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1.2'!$A$78:$A$82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1.2'!$C$78:$C$82</c:f>
              <c:numCache>
                <c:formatCode>General</c:formatCode>
                <c:ptCount val="5"/>
                <c:pt idx="0">
                  <c:v>1159</c:v>
                </c:pt>
                <c:pt idx="1">
                  <c:v>1399</c:v>
                </c:pt>
                <c:pt idx="2">
                  <c:v>1550</c:v>
                </c:pt>
                <c:pt idx="3">
                  <c:v>1613</c:v>
                </c:pt>
                <c:pt idx="4">
                  <c:v>1586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8F-402E-8E5F-AB9B42F32128}"/>
            </c:ext>
          </c:extLst>
        </c:ser>
        <c:ser>
          <c:idx val="3"/>
          <c:order val="2"/>
          <c:tx>
            <c:strRef>
              <c:f>'Radius 1.2'!$D$77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1.2'!$A$78:$A$82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1.2'!$D$78:$D$82</c:f>
              <c:numCache>
                <c:formatCode>General</c:formatCode>
                <c:ptCount val="5"/>
                <c:pt idx="0">
                  <c:v>1284</c:v>
                </c:pt>
                <c:pt idx="1">
                  <c:v>1342</c:v>
                </c:pt>
                <c:pt idx="2">
                  <c:v>1768</c:v>
                </c:pt>
                <c:pt idx="3">
                  <c:v>2179</c:v>
                </c:pt>
                <c:pt idx="4">
                  <c:v>2440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8F-402E-8E5F-AB9B42F32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747279"/>
        <c:axId val="597752079"/>
      </c:lineChart>
      <c:catAx>
        <c:axId val="597747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obstacles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52079"/>
        <c:crosses val="autoZero"/>
        <c:auto val="1"/>
        <c:lblAlgn val="ctr"/>
        <c:lblOffset val="100"/>
        <c:noMultiLvlLbl val="0"/>
      </c:catAx>
      <c:valAx>
        <c:axId val="5977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Distance(mm)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33204068241469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4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</a:t>
            </a:r>
            <a:r>
              <a:rPr lang="en-US" baseline="0"/>
              <a:t> 1.2 Objective: memory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1.2'!$B$95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1.2'!$A$96:$A$100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1.2'!$B$96:$B$100</c:f>
              <c:numCache>
                <c:formatCode>General</c:formatCode>
                <c:ptCount val="5"/>
                <c:pt idx="0">
                  <c:v>1873510.3999999999</c:v>
                </c:pt>
                <c:pt idx="1">
                  <c:v>2467430.3999999999</c:v>
                </c:pt>
                <c:pt idx="2">
                  <c:v>2593587.2000000002</c:v>
                </c:pt>
                <c:pt idx="3">
                  <c:v>2437939.2000000002</c:v>
                </c:pt>
                <c:pt idx="4">
                  <c:v>2347827.2000000002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62-4202-A37B-1DEB7ED191E8}"/>
            </c:ext>
          </c:extLst>
        </c:ser>
        <c:ser>
          <c:idx val="2"/>
          <c:order val="1"/>
          <c:tx>
            <c:strRef>
              <c:f>'Radius 1.2'!$C$95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1.2'!$A$96:$A$100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1.2'!$C$96:$C$100</c:f>
              <c:numCache>
                <c:formatCode>General</c:formatCode>
                <c:ptCount val="5"/>
                <c:pt idx="0">
                  <c:v>122880</c:v>
                </c:pt>
                <c:pt idx="1">
                  <c:v>126976</c:v>
                </c:pt>
                <c:pt idx="2">
                  <c:v>131072</c:v>
                </c:pt>
                <c:pt idx="3">
                  <c:v>135168</c:v>
                </c:pt>
                <c:pt idx="4">
                  <c:v>126976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62-4202-A37B-1DEB7ED191E8}"/>
            </c:ext>
          </c:extLst>
        </c:ser>
        <c:ser>
          <c:idx val="3"/>
          <c:order val="2"/>
          <c:tx>
            <c:strRef>
              <c:f>'Radius 1.2'!$D$95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2225" cap="rnd">
              <a:solidFill>
                <a:schemeClr val="accent4">
                  <a:alpha val="42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1.2'!$A$96:$A$100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1.2'!$D$96:$D$100</c:f>
              <c:numCache>
                <c:formatCode>General</c:formatCode>
                <c:ptCount val="5"/>
                <c:pt idx="0">
                  <c:v>131072</c:v>
                </c:pt>
                <c:pt idx="1">
                  <c:v>147456</c:v>
                </c:pt>
                <c:pt idx="2">
                  <c:v>126976</c:v>
                </c:pt>
                <c:pt idx="3">
                  <c:v>126976</c:v>
                </c:pt>
                <c:pt idx="4">
                  <c:v>98304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62-4202-A37B-1DEB7ED19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918607"/>
        <c:axId val="598919087"/>
      </c:lineChart>
      <c:catAx>
        <c:axId val="59891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obstacles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919087"/>
        <c:crosses val="autoZero"/>
        <c:auto val="1"/>
        <c:lblAlgn val="ctr"/>
        <c:lblOffset val="100"/>
        <c:noMultiLvlLbl val="0"/>
      </c:catAx>
      <c:valAx>
        <c:axId val="59891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918607"/>
        <c:crosses val="autoZero"/>
        <c:crossBetween val="between"/>
        <c:majorUnit val="25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 1.4</a:t>
            </a:r>
            <a:r>
              <a:rPr lang="en-US" baseline="0"/>
              <a:t> Objective: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1.4'!$B$58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1.4'!$A$59:$A$63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1.4'!$B$59:$B$63</c:f>
              <c:numCache>
                <c:formatCode>General</c:formatCode>
                <c:ptCount val="5"/>
                <c:pt idx="0">
                  <c:v>34</c:v>
                </c:pt>
                <c:pt idx="1">
                  <c:v>63.2</c:v>
                </c:pt>
                <c:pt idx="2">
                  <c:v>28.2</c:v>
                </c:pt>
                <c:pt idx="3">
                  <c:v>65.8</c:v>
                </c:pt>
                <c:pt idx="4">
                  <c:v>63.2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E-4E42-8FB1-86D54E45B316}"/>
            </c:ext>
          </c:extLst>
        </c:ser>
        <c:ser>
          <c:idx val="2"/>
          <c:order val="1"/>
          <c:tx>
            <c:strRef>
              <c:f>'Radius 1.4'!$C$58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1.4'!$A$59:$A$63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1.4'!$C$59:$C$63</c:f>
              <c:numCache>
                <c:formatCode>General</c:formatCode>
                <c:ptCount val="5"/>
                <c:pt idx="0">
                  <c:v>72</c:v>
                </c:pt>
                <c:pt idx="1">
                  <c:v>179</c:v>
                </c:pt>
                <c:pt idx="2">
                  <c:v>40</c:v>
                </c:pt>
                <c:pt idx="3">
                  <c:v>100</c:v>
                </c:pt>
                <c:pt idx="4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E-4E42-8FB1-86D54E45B316}"/>
            </c:ext>
          </c:extLst>
        </c:ser>
        <c:ser>
          <c:idx val="3"/>
          <c:order val="2"/>
          <c:tx>
            <c:strRef>
              <c:f>'Radius 1.4'!$D$58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1.4'!$A$59:$A$63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1.4'!$D$59:$D$63</c:f>
              <c:numCache>
                <c:formatCode>General</c:formatCode>
                <c:ptCount val="5"/>
                <c:pt idx="0">
                  <c:v>43</c:v>
                </c:pt>
                <c:pt idx="1">
                  <c:v>66</c:v>
                </c:pt>
                <c:pt idx="2">
                  <c:v>25</c:v>
                </c:pt>
                <c:pt idx="3">
                  <c:v>111</c:v>
                </c:pt>
                <c:pt idx="4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5E-4E42-8FB1-86D54E45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745327"/>
        <c:axId val="630742447"/>
      </c:lineChart>
      <c:catAx>
        <c:axId val="630745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obstacles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42447"/>
        <c:crosses val="autoZero"/>
        <c:auto val="1"/>
        <c:lblAlgn val="ctr"/>
        <c:lblOffset val="100"/>
        <c:noMultiLvlLbl val="0"/>
      </c:catAx>
      <c:valAx>
        <c:axId val="63074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</a:t>
            </a:r>
            <a:r>
              <a:rPr lang="en-US" baseline="0"/>
              <a:t> 1.4m Objective: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1.4'!$B$74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1.4'!$A$75:$A$79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1.4'!$B$75:$B$79</c:f>
              <c:numCache>
                <c:formatCode>General</c:formatCode>
                <c:ptCount val="5"/>
                <c:pt idx="0">
                  <c:v>1281.5999999999999</c:v>
                </c:pt>
                <c:pt idx="1">
                  <c:v>1303.8</c:v>
                </c:pt>
                <c:pt idx="2">
                  <c:v>1345.4</c:v>
                </c:pt>
                <c:pt idx="3">
                  <c:v>1375.6</c:v>
                </c:pt>
                <c:pt idx="4">
                  <c:v>1604.8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C7-4617-A5A5-35D6B61F631E}"/>
            </c:ext>
          </c:extLst>
        </c:ser>
        <c:ser>
          <c:idx val="2"/>
          <c:order val="1"/>
          <c:tx>
            <c:strRef>
              <c:f>'Radius 1.4'!$C$74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1.4'!$A$75:$A$79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1.4'!$C$75:$C$79</c:f>
              <c:numCache>
                <c:formatCode>General</c:formatCode>
                <c:ptCount val="5"/>
                <c:pt idx="0">
                  <c:v>1328</c:v>
                </c:pt>
                <c:pt idx="1">
                  <c:v>3373</c:v>
                </c:pt>
                <c:pt idx="2">
                  <c:v>978</c:v>
                </c:pt>
                <c:pt idx="3">
                  <c:v>1295</c:v>
                </c:pt>
                <c:pt idx="4">
                  <c:v>1313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C7-4617-A5A5-35D6B61F631E}"/>
            </c:ext>
          </c:extLst>
        </c:ser>
        <c:ser>
          <c:idx val="3"/>
          <c:order val="2"/>
          <c:tx>
            <c:strRef>
              <c:f>'Radius 1.4'!$D$74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1.4'!$A$75:$A$79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1.4'!$D$75:$D$79</c:f>
              <c:numCache>
                <c:formatCode>General</c:formatCode>
                <c:ptCount val="5"/>
                <c:pt idx="0">
                  <c:v>1222</c:v>
                </c:pt>
                <c:pt idx="1">
                  <c:v>1637</c:v>
                </c:pt>
                <c:pt idx="2">
                  <c:v>888</c:v>
                </c:pt>
                <c:pt idx="3">
                  <c:v>1839</c:v>
                </c:pt>
                <c:pt idx="4">
                  <c:v>1994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C7-4617-A5A5-35D6B61F6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260191"/>
        <c:axId val="582703791"/>
      </c:lineChart>
      <c:catAx>
        <c:axId val="42526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obstacles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03791"/>
        <c:crosses val="autoZero"/>
        <c:auto val="1"/>
        <c:lblAlgn val="ctr"/>
        <c:lblOffset val="100"/>
        <c:noMultiLvlLbl val="0"/>
      </c:catAx>
      <c:valAx>
        <c:axId val="58270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6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Radius:1.4 Objective: memory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1.4'!$B$90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1.4'!$A$91:$A$95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1.4'!$B$91:$B$95</c:f>
              <c:numCache>
                <c:formatCode>General</c:formatCode>
                <c:ptCount val="5"/>
                <c:pt idx="0">
                  <c:v>2379776</c:v>
                </c:pt>
                <c:pt idx="1">
                  <c:v>2478080</c:v>
                </c:pt>
                <c:pt idx="2">
                  <c:v>2136473.6000000001</c:v>
                </c:pt>
                <c:pt idx="3">
                  <c:v>2403532.7999999998</c:v>
                </c:pt>
                <c:pt idx="4">
                  <c:v>2374041.6000000001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94-4579-B8AC-DD67B61C75EC}"/>
            </c:ext>
          </c:extLst>
        </c:ser>
        <c:ser>
          <c:idx val="2"/>
          <c:order val="1"/>
          <c:tx>
            <c:strRef>
              <c:f>'Radius 1.4'!$C$90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1.4'!$A$91:$A$95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1.4'!$C$91:$C$95</c:f>
              <c:numCache>
                <c:formatCode>General</c:formatCode>
                <c:ptCount val="5"/>
                <c:pt idx="0">
                  <c:v>135168</c:v>
                </c:pt>
                <c:pt idx="1">
                  <c:v>98304</c:v>
                </c:pt>
                <c:pt idx="2">
                  <c:v>135168</c:v>
                </c:pt>
                <c:pt idx="3">
                  <c:v>131072</c:v>
                </c:pt>
                <c:pt idx="4">
                  <c:v>126976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94-4579-B8AC-DD67B61C75EC}"/>
            </c:ext>
          </c:extLst>
        </c:ser>
        <c:ser>
          <c:idx val="3"/>
          <c:order val="2"/>
          <c:tx>
            <c:strRef>
              <c:f>'Radius 1.4'!$D$90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>
                  <a:alpha val="2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1.4'!$A$91:$A$95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1.4'!$D$91:$D$95</c:f>
              <c:numCache>
                <c:formatCode>General</c:formatCode>
                <c:ptCount val="5"/>
                <c:pt idx="0">
                  <c:v>194969</c:v>
                </c:pt>
                <c:pt idx="1">
                  <c:v>126976</c:v>
                </c:pt>
                <c:pt idx="2">
                  <c:v>94208</c:v>
                </c:pt>
                <c:pt idx="3">
                  <c:v>126976</c:v>
                </c:pt>
                <c:pt idx="4">
                  <c:v>126976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94-4579-B8AC-DD67B61C7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352719"/>
        <c:axId val="627354159"/>
      </c:lineChart>
      <c:catAx>
        <c:axId val="6273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obstacles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354159"/>
        <c:crosses val="autoZero"/>
        <c:auto val="1"/>
        <c:lblAlgn val="ctr"/>
        <c:lblOffset val="100"/>
        <c:noMultiLvlLbl val="0"/>
      </c:catAx>
      <c:valAx>
        <c:axId val="62735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352719"/>
        <c:crosses val="autoZero"/>
        <c:crossBetween val="between"/>
        <c:majorUnit val="25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 1.6m Objective: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1.6'!$B$61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1.6'!$A$62:$A$66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1.6'!$B$62:$B$66</c:f>
              <c:numCache>
                <c:formatCode>General</c:formatCode>
                <c:ptCount val="5"/>
                <c:pt idx="0">
                  <c:v>21.4</c:v>
                </c:pt>
                <c:pt idx="1">
                  <c:v>43</c:v>
                </c:pt>
                <c:pt idx="2">
                  <c:v>34.200000000000003</c:v>
                </c:pt>
                <c:pt idx="3">
                  <c:v>51.6</c:v>
                </c:pt>
                <c:pt idx="4">
                  <c:v>56.8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5-4DB4-990B-7221E01893D0}"/>
            </c:ext>
          </c:extLst>
        </c:ser>
        <c:ser>
          <c:idx val="2"/>
          <c:order val="1"/>
          <c:tx>
            <c:strRef>
              <c:f>'Radius 1.6'!$C$61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1.6'!$A$62:$A$66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1.6'!$C$62:$C$66</c:f>
              <c:numCache>
                <c:formatCode>General</c:formatCode>
                <c:ptCount val="5"/>
                <c:pt idx="0">
                  <c:v>50</c:v>
                </c:pt>
                <c:pt idx="1">
                  <c:v>154</c:v>
                </c:pt>
                <c:pt idx="2">
                  <c:v>204</c:v>
                </c:pt>
                <c:pt idx="3">
                  <c:v>152</c:v>
                </c:pt>
                <c:pt idx="4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35-4DB4-990B-7221E01893D0}"/>
            </c:ext>
          </c:extLst>
        </c:ser>
        <c:ser>
          <c:idx val="3"/>
          <c:order val="2"/>
          <c:tx>
            <c:strRef>
              <c:f>'Radius 1.6'!$D$61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1.6'!$A$62:$A$66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1.6'!$D$62:$D$66</c:f>
              <c:numCache>
                <c:formatCode>General</c:formatCode>
                <c:ptCount val="5"/>
                <c:pt idx="0">
                  <c:v>29</c:v>
                </c:pt>
                <c:pt idx="1">
                  <c:v>52</c:v>
                </c:pt>
                <c:pt idx="2">
                  <c:v>49</c:v>
                </c:pt>
                <c:pt idx="3">
                  <c:v>50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35-4DB4-990B-7221E0189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015311"/>
        <c:axId val="416014831"/>
      </c:lineChart>
      <c:catAx>
        <c:axId val="41601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obstacles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14831"/>
        <c:crosses val="autoZero"/>
        <c:auto val="1"/>
        <c:lblAlgn val="ctr"/>
        <c:lblOffset val="100"/>
        <c:noMultiLvlLbl val="0"/>
      </c:catAx>
      <c:valAx>
        <c:axId val="41601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1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Radius:1.6m Objective:distance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'Radius 1.6'!$B$77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1.6'!$A$78:$A$82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1.6'!$B$78:$B$82</c:f>
              <c:numCache>
                <c:formatCode>General</c:formatCode>
                <c:ptCount val="5"/>
                <c:pt idx="0">
                  <c:v>710.6</c:v>
                </c:pt>
                <c:pt idx="1">
                  <c:v>1521</c:v>
                </c:pt>
                <c:pt idx="2">
                  <c:v>890.2</c:v>
                </c:pt>
                <c:pt idx="3">
                  <c:v>1723.6</c:v>
                </c:pt>
                <c:pt idx="4">
                  <c:v>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2A-435D-874C-15A4BC9DC4B6}"/>
            </c:ext>
          </c:extLst>
        </c:ser>
        <c:ser>
          <c:idx val="2"/>
          <c:order val="1"/>
          <c:tx>
            <c:strRef>
              <c:f>'Radius 1.6'!$C$77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1.6'!$A$78:$A$82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1.6'!$C$78:$C$82</c:f>
              <c:numCache>
                <c:formatCode>General</c:formatCode>
                <c:ptCount val="5"/>
                <c:pt idx="0">
                  <c:v>1027</c:v>
                </c:pt>
                <c:pt idx="1">
                  <c:v>2836</c:v>
                </c:pt>
                <c:pt idx="2">
                  <c:v>2885</c:v>
                </c:pt>
                <c:pt idx="3">
                  <c:v>2935</c:v>
                </c:pt>
                <c:pt idx="4">
                  <c:v>2402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2A-435D-874C-15A4BC9DC4B6}"/>
            </c:ext>
          </c:extLst>
        </c:ser>
        <c:ser>
          <c:idx val="3"/>
          <c:order val="2"/>
          <c:tx>
            <c:strRef>
              <c:f>'Radius 1.6'!$D$77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1.6'!$A$78:$A$82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1.6'!$D$78:$D$82</c:f>
              <c:numCache>
                <c:formatCode>General</c:formatCode>
                <c:ptCount val="5"/>
                <c:pt idx="0">
                  <c:v>926</c:v>
                </c:pt>
                <c:pt idx="1">
                  <c:v>987</c:v>
                </c:pt>
                <c:pt idx="2">
                  <c:v>964</c:v>
                </c:pt>
                <c:pt idx="3">
                  <c:v>1267</c:v>
                </c:pt>
                <c:pt idx="4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2A-435D-874C-15A4BC9DC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422639"/>
        <c:axId val="617421199"/>
      </c:lineChart>
      <c:catAx>
        <c:axId val="61742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obstacles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21199"/>
        <c:crosses val="autoZero"/>
        <c:auto val="1"/>
        <c:lblAlgn val="ctr"/>
        <c:lblOffset val="100"/>
        <c:noMultiLvlLbl val="0"/>
      </c:catAx>
      <c:valAx>
        <c:axId val="6174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Radius: 1.6 Objective: memory</a:t>
            </a:r>
          </a:p>
        </c:rich>
      </c:tx>
      <c:layout>
        <c:manualLayout>
          <c:xMode val="edge"/>
          <c:yMode val="edge"/>
          <c:x val="0.2627589379683256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11069319607284"/>
          <c:y val="0.16245370370370371"/>
          <c:w val="0.83953018372703414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'Radius 1.6'!$B$94</c:f>
              <c:strCache>
                <c:ptCount val="1"/>
                <c:pt idx="0">
                  <c:v>NSGA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'Radius 1.6'!$A$95:$A$99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1.6'!$B$95:$B$99</c:f>
              <c:numCache>
                <c:formatCode>General</c:formatCode>
                <c:ptCount val="5"/>
                <c:pt idx="0">
                  <c:v>2020966.3999999999</c:v>
                </c:pt>
                <c:pt idx="1">
                  <c:v>2291302.3999999999</c:v>
                </c:pt>
                <c:pt idx="2">
                  <c:v>2209382.3999999999</c:v>
                </c:pt>
                <c:pt idx="3">
                  <c:v>2127462.3999999999</c:v>
                </c:pt>
                <c:pt idx="4">
                  <c:v>2210201.6000000001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C7-40A0-BADD-F7F1406C8FD5}"/>
            </c:ext>
          </c:extLst>
        </c:ser>
        <c:ser>
          <c:idx val="2"/>
          <c:order val="1"/>
          <c:tx>
            <c:strRef>
              <c:f>'Radius 1.6'!$C$94</c:f>
              <c:strCache>
                <c:ptCount val="1"/>
                <c:pt idx="0">
                  <c:v>M5 REGRESSION MODEL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'Radius 1.6'!$A$95:$A$99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1.6'!$C$95:$C$99</c:f>
              <c:numCache>
                <c:formatCode>General</c:formatCode>
                <c:ptCount val="5"/>
                <c:pt idx="0">
                  <c:v>131072</c:v>
                </c:pt>
                <c:pt idx="1">
                  <c:v>102400</c:v>
                </c:pt>
                <c:pt idx="2">
                  <c:v>102400</c:v>
                </c:pt>
                <c:pt idx="3">
                  <c:v>102400</c:v>
                </c:pt>
                <c:pt idx="4">
                  <c:v>102400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C7-40A0-BADD-F7F1406C8FD5}"/>
            </c:ext>
          </c:extLst>
        </c:ser>
        <c:ser>
          <c:idx val="3"/>
          <c:order val="2"/>
          <c:tx>
            <c:strRef>
              <c:f>'Radius 1.6'!$D$94</c:f>
              <c:strCache>
                <c:ptCount val="1"/>
                <c:pt idx="0">
                  <c:v>M3 EMPIRICAL WEIGHTS </c:v>
                </c:pt>
              </c:strCache>
            </c:strRef>
          </c:tx>
          <c:spPr>
            <a:ln w="28575" cap="rnd">
              <a:solidFill>
                <a:schemeClr val="accent4">
                  <a:alpha val="4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'Radius 1.6'!$A$95:$A$99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'Radius 1.6'!$D$95:$D$99</c:f>
              <c:numCache>
                <c:formatCode>General</c:formatCode>
                <c:ptCount val="5"/>
                <c:pt idx="0">
                  <c:v>16384</c:v>
                </c:pt>
                <c:pt idx="1">
                  <c:v>131072</c:v>
                </c:pt>
                <c:pt idx="2">
                  <c:v>131072</c:v>
                </c:pt>
                <c:pt idx="3">
                  <c:v>126976</c:v>
                </c:pt>
                <c:pt idx="4">
                  <c:v>126976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C7-40A0-BADD-F7F1406C8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992367"/>
        <c:axId val="415991407"/>
      </c:lineChart>
      <c:catAx>
        <c:axId val="41599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obstacles</a:t>
                </a:r>
              </a:p>
            </c:rich>
          </c:tx>
          <c:layout>
            <c:manualLayout>
              <c:xMode val="edge"/>
              <c:yMode val="edge"/>
              <c:x val="0.49315989925025894"/>
              <c:y val="0.83391149023038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991407"/>
        <c:crosses val="autoZero"/>
        <c:auto val="1"/>
        <c:lblAlgn val="ctr"/>
        <c:lblOffset val="100"/>
        <c:noMultiLvlLbl val="0"/>
      </c:catAx>
      <c:valAx>
        <c:axId val="4159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Memory(bytes)</a:t>
                </a:r>
              </a:p>
            </c:rich>
          </c:tx>
          <c:layout>
            <c:manualLayout>
              <c:xMode val="edge"/>
              <c:yMode val="edge"/>
              <c:x val="0"/>
              <c:y val="0.31051290463692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992367"/>
        <c:crosses val="autoZero"/>
        <c:crossBetween val="between"/>
        <c:majorUnit val="25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58</xdr:row>
      <xdr:rowOff>34290</xdr:rowOff>
    </xdr:from>
    <xdr:to>
      <xdr:col>9</xdr:col>
      <xdr:colOff>388620</xdr:colOff>
      <xdr:row>73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FFE5E-5A84-1490-6491-853FB9B49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74</xdr:row>
      <xdr:rowOff>179070</xdr:rowOff>
    </xdr:from>
    <xdr:to>
      <xdr:col>9</xdr:col>
      <xdr:colOff>586740</xdr:colOff>
      <xdr:row>89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2E12FD-855A-A723-2F04-CB5094229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281940</xdr:colOff>
      <xdr:row>92</xdr:row>
      <xdr:rowOff>110490</xdr:rowOff>
    </xdr:from>
    <xdr:to>
      <xdr:col>9</xdr:col>
      <xdr:colOff>373380</xdr:colOff>
      <xdr:row>107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829C3B-2F44-A4E7-AEDC-C766CA898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914400</xdr:colOff>
      <xdr:row>58</xdr:row>
      <xdr:rowOff>95250</xdr:rowOff>
    </xdr:from>
    <xdr:to>
      <xdr:col>10</xdr:col>
      <xdr:colOff>274320</xdr:colOff>
      <xdr:row>73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979F6-66F3-8E21-E468-9C0400904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1196340</xdr:colOff>
      <xdr:row>74</xdr:row>
      <xdr:rowOff>179070</xdr:rowOff>
    </xdr:from>
    <xdr:to>
      <xdr:col>10</xdr:col>
      <xdr:colOff>556260</xdr:colOff>
      <xdr:row>89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82292-C448-76C1-AA56-5BFE98D65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1257300</xdr:colOff>
      <xdr:row>91</xdr:row>
      <xdr:rowOff>140970</xdr:rowOff>
    </xdr:from>
    <xdr:to>
      <xdr:col>11</xdr:col>
      <xdr:colOff>7620</xdr:colOff>
      <xdr:row>106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20A3CE-0C7D-E1F8-0989-C91856111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60</xdr:row>
      <xdr:rowOff>57150</xdr:rowOff>
    </xdr:from>
    <xdr:to>
      <xdr:col>9</xdr:col>
      <xdr:colOff>297180</xdr:colOff>
      <xdr:row>75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B5CF9-2BD1-4604-8B5F-25509B0A4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77</xdr:row>
      <xdr:rowOff>179070</xdr:rowOff>
    </xdr:from>
    <xdr:to>
      <xdr:col>9</xdr:col>
      <xdr:colOff>350520</xdr:colOff>
      <xdr:row>92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91EDAC-82FD-2B37-BEA7-16AF36048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571500</xdr:colOff>
      <xdr:row>95</xdr:row>
      <xdr:rowOff>49530</xdr:rowOff>
    </xdr:from>
    <xdr:to>
      <xdr:col>9</xdr:col>
      <xdr:colOff>388620</xdr:colOff>
      <xdr:row>110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358E3C-1FDD-6FE1-5C17-3584D3E80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56</xdr:row>
      <xdr:rowOff>64770</xdr:rowOff>
    </xdr:from>
    <xdr:to>
      <xdr:col>9</xdr:col>
      <xdr:colOff>213360</xdr:colOff>
      <xdr:row>71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6BF77-3F91-4DB4-C187-A4170C800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876300</xdr:colOff>
      <xdr:row>73</xdr:row>
      <xdr:rowOff>19050</xdr:rowOff>
    </xdr:from>
    <xdr:to>
      <xdr:col>10</xdr:col>
      <xdr:colOff>91440</xdr:colOff>
      <xdr:row>88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BA8000-0BDF-2F3A-7098-FE89CDA13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449580</xdr:colOff>
      <xdr:row>89</xdr:row>
      <xdr:rowOff>156210</xdr:rowOff>
    </xdr:from>
    <xdr:to>
      <xdr:col>9</xdr:col>
      <xdr:colOff>274320</xdr:colOff>
      <xdr:row>104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ED32BD-ECEA-170B-E61A-6436CE56D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60</xdr:row>
      <xdr:rowOff>118110</xdr:rowOff>
    </xdr:from>
    <xdr:to>
      <xdr:col>9</xdr:col>
      <xdr:colOff>83820</xdr:colOff>
      <xdr:row>75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C7363-5C24-A4A6-8B7D-86757BE82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594360</xdr:colOff>
      <xdr:row>77</xdr:row>
      <xdr:rowOff>133350</xdr:rowOff>
    </xdr:from>
    <xdr:to>
      <xdr:col>9</xdr:col>
      <xdr:colOff>281940</xdr:colOff>
      <xdr:row>92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E06105-F873-7F8A-0679-C7F24ADC2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332828</xdr:colOff>
      <xdr:row>95</xdr:row>
      <xdr:rowOff>47297</xdr:rowOff>
    </xdr:from>
    <xdr:to>
      <xdr:col>9</xdr:col>
      <xdr:colOff>451069</xdr:colOff>
      <xdr:row>110</xdr:row>
      <xdr:rowOff>31531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0A599C-AD06-1E7C-C2E8-8DFD76309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76E0-AC97-41BE-9D8F-B0F7AB7651C8}">
  <dimension ref="A1:F97"/>
  <sheetViews>
    <sheetView topLeftCell="A68" zoomScaleNormal="100" workbookViewId="0">
      <selection activeCell="B83" sqref="B83"/>
    </sheetView>
  </sheetViews>
  <sheetFormatPr defaultRowHeight="14.4" x14ac:dyDescent="0.3"/>
  <cols>
    <col min="1" max="1" width="31.6640625" customWidth="1"/>
    <col min="2" max="2" width="22.21875" customWidth="1"/>
    <col min="3" max="3" width="30.6640625" customWidth="1"/>
    <col min="4" max="4" width="28.109375" customWidth="1"/>
    <col min="5" max="5" width="29.77734375" customWidth="1"/>
  </cols>
  <sheetData>
    <row r="1" spans="1:6" x14ac:dyDescent="0.3">
      <c r="A1" s="1" t="s">
        <v>18</v>
      </c>
      <c r="B1" s="1" t="s">
        <v>7</v>
      </c>
      <c r="C1" s="1" t="s">
        <v>8</v>
      </c>
      <c r="D1" s="1" t="s">
        <v>9</v>
      </c>
      <c r="E1" s="1" t="s">
        <v>10</v>
      </c>
      <c r="F1" s="1"/>
    </row>
    <row r="2" spans="1:6" x14ac:dyDescent="0.3">
      <c r="A2" s="1" t="s">
        <v>1</v>
      </c>
      <c r="B2">
        <v>45</v>
      </c>
      <c r="C2">
        <v>1050</v>
      </c>
      <c r="D2">
        <v>2375680</v>
      </c>
      <c r="E2" t="s">
        <v>11</v>
      </c>
      <c r="F2" s="1"/>
    </row>
    <row r="3" spans="1:6" x14ac:dyDescent="0.3">
      <c r="A3" s="1" t="s">
        <v>2</v>
      </c>
      <c r="B3">
        <v>76</v>
      </c>
      <c r="C3">
        <v>952</v>
      </c>
      <c r="D3">
        <v>2015232</v>
      </c>
      <c r="E3" t="s">
        <v>11</v>
      </c>
      <c r="F3" s="1"/>
    </row>
    <row r="4" spans="1:6" x14ac:dyDescent="0.3">
      <c r="A4" s="1" t="s">
        <v>3</v>
      </c>
      <c r="B4">
        <v>78</v>
      </c>
      <c r="C4">
        <v>947</v>
      </c>
      <c r="D4">
        <v>2539520</v>
      </c>
      <c r="E4" t="s">
        <v>12</v>
      </c>
      <c r="F4" s="1"/>
    </row>
    <row r="5" spans="1:6" x14ac:dyDescent="0.3">
      <c r="A5" s="1" t="s">
        <v>30</v>
      </c>
      <c r="B5">
        <v>41</v>
      </c>
      <c r="C5">
        <v>1073</v>
      </c>
      <c r="D5">
        <v>2711552</v>
      </c>
      <c r="E5" t="s">
        <v>11</v>
      </c>
      <c r="F5" s="1"/>
    </row>
    <row r="6" spans="1:6" x14ac:dyDescent="0.3">
      <c r="A6" s="1" t="s">
        <v>31</v>
      </c>
      <c r="B6">
        <v>51</v>
      </c>
      <c r="C6">
        <v>847</v>
      </c>
      <c r="D6">
        <v>2117632</v>
      </c>
      <c r="E6" t="s">
        <v>27</v>
      </c>
      <c r="F6" s="1"/>
    </row>
    <row r="7" spans="1:6" x14ac:dyDescent="0.3">
      <c r="A7" s="1" t="s">
        <v>4</v>
      </c>
      <c r="B7">
        <f>AVERAGE(B2:B6)</f>
        <v>58.2</v>
      </c>
      <c r="C7">
        <f>AVERAGE(C2:C6)</f>
        <v>973.8</v>
      </c>
      <c r="D7">
        <f>AVERAGE(D2:D6)</f>
        <v>2351923.2000000002</v>
      </c>
      <c r="F7" s="1"/>
    </row>
    <row r="8" spans="1:6" x14ac:dyDescent="0.3">
      <c r="A8" s="1" t="s">
        <v>29</v>
      </c>
      <c r="B8">
        <f>_xlfn.STDEV.P(B2:B6)</f>
        <v>15.68948692596415</v>
      </c>
      <c r="C8">
        <f>_xlfn.STDEV.P(C2:C6)</f>
        <v>81.140372195350452</v>
      </c>
      <c r="D8">
        <f>_xlfn.STDEV.P(D2:D6)</f>
        <v>258202.6914115343</v>
      </c>
      <c r="F8" s="1"/>
    </row>
    <row r="9" spans="1:6" x14ac:dyDescent="0.3">
      <c r="A9" s="1" t="s">
        <v>5</v>
      </c>
      <c r="B9">
        <v>100</v>
      </c>
      <c r="C9">
        <v>1010</v>
      </c>
      <c r="D9">
        <v>131072</v>
      </c>
      <c r="E9" t="s">
        <v>11</v>
      </c>
      <c r="F9" s="1"/>
    </row>
    <row r="10" spans="1:6" x14ac:dyDescent="0.3">
      <c r="A10" s="1" t="s">
        <v>6</v>
      </c>
      <c r="B10">
        <v>75</v>
      </c>
      <c r="C10">
        <v>1034</v>
      </c>
      <c r="D10">
        <v>122880</v>
      </c>
      <c r="E10" t="s">
        <v>11</v>
      </c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 t="s">
        <v>19</v>
      </c>
      <c r="B13" s="1" t="s">
        <v>7</v>
      </c>
      <c r="C13" s="1" t="s">
        <v>8</v>
      </c>
      <c r="D13" s="1" t="s">
        <v>9</v>
      </c>
      <c r="E13" s="1" t="s">
        <v>10</v>
      </c>
      <c r="F13" s="1"/>
    </row>
    <row r="14" spans="1:6" x14ac:dyDescent="0.3">
      <c r="A14" s="1" t="s">
        <v>1</v>
      </c>
      <c r="B14">
        <v>80</v>
      </c>
      <c r="C14">
        <v>1302</v>
      </c>
      <c r="D14">
        <v>2813952</v>
      </c>
      <c r="E14" t="s">
        <v>15</v>
      </c>
    </row>
    <row r="15" spans="1:6" x14ac:dyDescent="0.3">
      <c r="A15" s="1" t="s">
        <v>2</v>
      </c>
      <c r="B15">
        <v>115</v>
      </c>
      <c r="C15">
        <v>1208</v>
      </c>
      <c r="D15">
        <v>2318336</v>
      </c>
      <c r="E15" t="s">
        <v>12</v>
      </c>
    </row>
    <row r="16" spans="1:6" x14ac:dyDescent="0.3">
      <c r="A16" s="1" t="s">
        <v>3</v>
      </c>
      <c r="B16">
        <v>97</v>
      </c>
      <c r="C16">
        <v>1202</v>
      </c>
      <c r="D16">
        <v>2576384</v>
      </c>
      <c r="E16" t="s">
        <v>12</v>
      </c>
    </row>
    <row r="17" spans="1:6" x14ac:dyDescent="0.3">
      <c r="A17" s="1" t="s">
        <v>30</v>
      </c>
      <c r="B17">
        <v>99</v>
      </c>
      <c r="C17">
        <v>1379</v>
      </c>
      <c r="D17">
        <v>2129920</v>
      </c>
      <c r="E17" t="s">
        <v>12</v>
      </c>
    </row>
    <row r="18" spans="1:6" x14ac:dyDescent="0.3">
      <c r="A18" s="1" t="s">
        <v>31</v>
      </c>
      <c r="B18">
        <v>106</v>
      </c>
      <c r="C18">
        <v>1138</v>
      </c>
      <c r="D18">
        <v>2371584</v>
      </c>
      <c r="E18" t="s">
        <v>20</v>
      </c>
    </row>
    <row r="19" spans="1:6" x14ac:dyDescent="0.3">
      <c r="A19" s="1" t="s">
        <v>4</v>
      </c>
      <c r="B19">
        <f>AVERAGE(B14:B18)</f>
        <v>99.4</v>
      </c>
      <c r="C19">
        <f>AVERAGE(C14:C18)</f>
        <v>1245.8</v>
      </c>
      <c r="D19">
        <f>AVERAGE(D14:D18)</f>
        <v>2442035.2000000002</v>
      </c>
    </row>
    <row r="20" spans="1:6" x14ac:dyDescent="0.3">
      <c r="A20" s="1" t="s">
        <v>29</v>
      </c>
      <c r="B20">
        <f>_xlfn.STDEV.P(B14:B18)</f>
        <v>11.568923891183656</v>
      </c>
      <c r="C20">
        <f>_xlfn.STDEV.P(C14:C18)</f>
        <v>84.698051925649395</v>
      </c>
      <c r="D20">
        <f>_xlfn.STDEV.P(D14:D18)</f>
        <v>234116.41032477838</v>
      </c>
    </row>
    <row r="21" spans="1:6" x14ac:dyDescent="0.3">
      <c r="A21" s="1" t="s">
        <v>5</v>
      </c>
      <c r="B21">
        <v>146</v>
      </c>
      <c r="C21">
        <v>1288</v>
      </c>
      <c r="D21">
        <v>98304</v>
      </c>
      <c r="E21" t="s">
        <v>12</v>
      </c>
    </row>
    <row r="22" spans="1:6" x14ac:dyDescent="0.3">
      <c r="A22" s="1" t="s">
        <v>6</v>
      </c>
      <c r="B22">
        <v>116</v>
      </c>
      <c r="C22">
        <v>1068</v>
      </c>
      <c r="D22">
        <v>126976</v>
      </c>
      <c r="E22" t="s">
        <v>20</v>
      </c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 t="s">
        <v>21</v>
      </c>
      <c r="B25" s="1" t="s">
        <v>7</v>
      </c>
      <c r="C25" s="1" t="s">
        <v>8</v>
      </c>
      <c r="D25" s="1" t="s">
        <v>9</v>
      </c>
      <c r="E25" s="1" t="s">
        <v>10</v>
      </c>
      <c r="F25" s="1"/>
    </row>
    <row r="26" spans="1:6" x14ac:dyDescent="0.3">
      <c r="A26" s="1" t="s">
        <v>1</v>
      </c>
      <c r="B26">
        <v>60</v>
      </c>
      <c r="C26">
        <v>892</v>
      </c>
      <c r="D26">
        <v>2121728</v>
      </c>
      <c r="E26" t="s">
        <v>22</v>
      </c>
    </row>
    <row r="27" spans="1:6" x14ac:dyDescent="0.3">
      <c r="A27" s="1" t="s">
        <v>2</v>
      </c>
      <c r="B27">
        <v>123</v>
      </c>
      <c r="C27">
        <v>1082</v>
      </c>
      <c r="D27">
        <v>2322432</v>
      </c>
      <c r="E27" t="s">
        <v>20</v>
      </c>
    </row>
    <row r="28" spans="1:6" x14ac:dyDescent="0.3">
      <c r="A28" s="1" t="s">
        <v>3</v>
      </c>
      <c r="B28">
        <v>70</v>
      </c>
      <c r="C28">
        <v>878</v>
      </c>
      <c r="D28">
        <v>2576384</v>
      </c>
      <c r="E28" t="s">
        <v>15</v>
      </c>
    </row>
    <row r="29" spans="1:6" x14ac:dyDescent="0.3">
      <c r="A29" s="1" t="s">
        <v>30</v>
      </c>
      <c r="B29">
        <v>71</v>
      </c>
      <c r="C29">
        <v>882</v>
      </c>
      <c r="D29">
        <v>2756608</v>
      </c>
      <c r="E29" t="s">
        <v>15</v>
      </c>
    </row>
    <row r="30" spans="1:6" x14ac:dyDescent="0.3">
      <c r="A30" s="1" t="s">
        <v>31</v>
      </c>
      <c r="B30">
        <v>74</v>
      </c>
      <c r="C30">
        <v>877</v>
      </c>
      <c r="D30">
        <v>2297856</v>
      </c>
      <c r="E30" t="s">
        <v>15</v>
      </c>
    </row>
    <row r="31" spans="1:6" x14ac:dyDescent="0.3">
      <c r="A31" s="1" t="s">
        <v>4</v>
      </c>
      <c r="B31">
        <f>AVERAGE(B26:B30)</f>
        <v>79.599999999999994</v>
      </c>
      <c r="C31">
        <f>AVERAGE(C26:C30)</f>
        <v>922.2</v>
      </c>
      <c r="D31">
        <f>AVERAGE(D26:D30)</f>
        <v>2415001.6000000001</v>
      </c>
    </row>
    <row r="32" spans="1:6" x14ac:dyDescent="0.3">
      <c r="A32" s="1" t="s">
        <v>29</v>
      </c>
      <c r="B32">
        <f>_xlfn.STDEV.P(B26:B31)</f>
        <v>20.269846241811145</v>
      </c>
      <c r="C32">
        <f>_xlfn.STDEV.P(C26:C31)</f>
        <v>73.099019601268708</v>
      </c>
      <c r="D32">
        <f>_xlfn.STDEV.P(D26:D31)</f>
        <v>204548.62439495081</v>
      </c>
    </row>
    <row r="33" spans="1:5" x14ac:dyDescent="0.3">
      <c r="A33" s="1" t="s">
        <v>5</v>
      </c>
      <c r="B33">
        <v>137</v>
      </c>
      <c r="C33">
        <v>1056</v>
      </c>
      <c r="D33">
        <v>98317</v>
      </c>
      <c r="E33" t="s">
        <v>20</v>
      </c>
    </row>
    <row r="34" spans="1:5" x14ac:dyDescent="0.3">
      <c r="A34" s="1" t="s">
        <v>6</v>
      </c>
      <c r="B34">
        <v>78</v>
      </c>
      <c r="C34">
        <v>1490</v>
      </c>
      <c r="D34">
        <v>126976</v>
      </c>
      <c r="E34" t="s">
        <v>12</v>
      </c>
    </row>
    <row r="37" spans="1:5" x14ac:dyDescent="0.3">
      <c r="A37" s="1" t="s">
        <v>47</v>
      </c>
      <c r="B37" s="1" t="s">
        <v>7</v>
      </c>
      <c r="C37" s="1" t="s">
        <v>8</v>
      </c>
      <c r="D37" s="1" t="s">
        <v>9</v>
      </c>
      <c r="E37" s="1" t="s">
        <v>10</v>
      </c>
    </row>
    <row r="38" spans="1:5" x14ac:dyDescent="0.3">
      <c r="A38" s="1" t="s">
        <v>1</v>
      </c>
      <c r="B38">
        <v>60</v>
      </c>
      <c r="C38">
        <v>1497</v>
      </c>
      <c r="D38">
        <v>2826240</v>
      </c>
      <c r="E38" t="s">
        <v>52</v>
      </c>
    </row>
    <row r="39" spans="1:5" x14ac:dyDescent="0.3">
      <c r="A39" s="1" t="s">
        <v>2</v>
      </c>
      <c r="B39">
        <v>30</v>
      </c>
      <c r="C39">
        <v>242</v>
      </c>
      <c r="D39">
        <v>2187264</v>
      </c>
      <c r="E39" t="s">
        <v>45</v>
      </c>
    </row>
    <row r="40" spans="1:5" x14ac:dyDescent="0.3">
      <c r="A40" s="1" t="s">
        <v>3</v>
      </c>
      <c r="B40">
        <v>65</v>
      </c>
      <c r="C40">
        <v>1478</v>
      </c>
      <c r="D40">
        <v>2547712</v>
      </c>
      <c r="E40" t="s">
        <v>55</v>
      </c>
    </row>
    <row r="41" spans="1:5" x14ac:dyDescent="0.3">
      <c r="A41" s="1" t="s">
        <v>30</v>
      </c>
      <c r="B41">
        <v>45</v>
      </c>
      <c r="C41">
        <v>1580</v>
      </c>
      <c r="D41">
        <v>2641920</v>
      </c>
      <c r="E41" t="s">
        <v>55</v>
      </c>
    </row>
    <row r="42" spans="1:5" x14ac:dyDescent="0.3">
      <c r="A42" s="1" t="s">
        <v>31</v>
      </c>
      <c r="B42">
        <v>47</v>
      </c>
      <c r="C42">
        <v>1322</v>
      </c>
      <c r="D42">
        <v>2617344</v>
      </c>
      <c r="E42" t="s">
        <v>55</v>
      </c>
    </row>
    <row r="43" spans="1:5" x14ac:dyDescent="0.3">
      <c r="A43" s="1" t="s">
        <v>4</v>
      </c>
      <c r="B43">
        <f>AVERAGE(B38:B42)</f>
        <v>49.4</v>
      </c>
      <c r="C43">
        <f>AVERAGE(C38:C42)</f>
        <v>1223.8</v>
      </c>
      <c r="D43">
        <f>AVERAGE(D38:D42)</f>
        <v>2564096</v>
      </c>
    </row>
    <row r="44" spans="1:5" x14ac:dyDescent="0.3">
      <c r="A44" s="1" t="s">
        <v>29</v>
      </c>
      <c r="B44">
        <f>_xlfn.STDEV.P(B38:B43)</f>
        <v>11.233877335986909</v>
      </c>
      <c r="C44">
        <f>_xlfn.STDEV.P(C38:C43)</f>
        <v>454.55267388206312</v>
      </c>
      <c r="D44">
        <f>_xlfn.STDEV.P(D38:D43)</f>
        <v>191434.14572466776</v>
      </c>
    </row>
    <row r="45" spans="1:5" x14ac:dyDescent="0.3">
      <c r="A45" s="1" t="s">
        <v>5</v>
      </c>
      <c r="B45">
        <v>90</v>
      </c>
      <c r="C45">
        <v>1749</v>
      </c>
      <c r="D45">
        <v>131072</v>
      </c>
      <c r="E45" t="s">
        <v>46</v>
      </c>
    </row>
    <row r="46" spans="1:5" x14ac:dyDescent="0.3">
      <c r="A46" s="1" t="s">
        <v>6</v>
      </c>
      <c r="B46">
        <v>45</v>
      </c>
      <c r="C46">
        <v>1456</v>
      </c>
      <c r="D46">
        <v>131072</v>
      </c>
      <c r="E46" t="s">
        <v>55</v>
      </c>
    </row>
    <row r="48" spans="1:5" x14ac:dyDescent="0.3">
      <c r="A48" s="1" t="s">
        <v>48</v>
      </c>
      <c r="B48" s="1" t="s">
        <v>7</v>
      </c>
      <c r="C48" s="1" t="s">
        <v>8</v>
      </c>
      <c r="D48" s="1" t="s">
        <v>9</v>
      </c>
      <c r="E48" s="1" t="s">
        <v>10</v>
      </c>
    </row>
    <row r="49" spans="1:5" x14ac:dyDescent="0.3">
      <c r="A49" s="1" t="s">
        <v>1</v>
      </c>
      <c r="B49">
        <v>48</v>
      </c>
      <c r="C49">
        <v>1722</v>
      </c>
      <c r="D49">
        <v>2572288</v>
      </c>
      <c r="E49" t="s">
        <v>45</v>
      </c>
    </row>
    <row r="50" spans="1:5" x14ac:dyDescent="0.3">
      <c r="A50" s="1" t="s">
        <v>2</v>
      </c>
      <c r="B50">
        <v>45</v>
      </c>
      <c r="C50">
        <v>935</v>
      </c>
      <c r="D50">
        <v>2547712</v>
      </c>
      <c r="E50" t="s">
        <v>49</v>
      </c>
    </row>
    <row r="51" spans="1:5" x14ac:dyDescent="0.3">
      <c r="A51" s="1" t="s">
        <v>3</v>
      </c>
      <c r="B51">
        <v>66</v>
      </c>
      <c r="C51">
        <v>1662</v>
      </c>
      <c r="D51">
        <v>2797568</v>
      </c>
      <c r="E51" t="s">
        <v>49</v>
      </c>
    </row>
    <row r="52" spans="1:5" x14ac:dyDescent="0.3">
      <c r="A52" s="1" t="s">
        <v>30</v>
      </c>
      <c r="B52">
        <v>75</v>
      </c>
      <c r="C52">
        <v>1789</v>
      </c>
      <c r="D52">
        <v>2699264</v>
      </c>
      <c r="E52" t="s">
        <v>45</v>
      </c>
    </row>
    <row r="53" spans="1:5" x14ac:dyDescent="0.3">
      <c r="A53" s="1" t="s">
        <v>31</v>
      </c>
      <c r="B53">
        <v>37</v>
      </c>
      <c r="C53">
        <v>865</v>
      </c>
      <c r="D53">
        <v>2629632</v>
      </c>
      <c r="E53" t="s">
        <v>49</v>
      </c>
    </row>
    <row r="54" spans="1:5" x14ac:dyDescent="0.3">
      <c r="A54" s="1" t="s">
        <v>4</v>
      </c>
      <c r="B54">
        <f>AVERAGE(B49:B53)</f>
        <v>54.2</v>
      </c>
      <c r="C54">
        <f>AVERAGE(C49:C53)</f>
        <v>1394.6</v>
      </c>
      <c r="D54">
        <f>AVERAGE(D49:D53)</f>
        <v>2649292.7999999998</v>
      </c>
    </row>
    <row r="55" spans="1:5" x14ac:dyDescent="0.3">
      <c r="A55" s="1" t="s">
        <v>29</v>
      </c>
      <c r="B55">
        <f>_xlfn.STDEV.P(B49:B54)</f>
        <v>12.850421523566197</v>
      </c>
      <c r="C55">
        <f>_xlfn.STDEV.P(C49:C54)</f>
        <v>371.02407828423583</v>
      </c>
      <c r="D55">
        <f>_xlfn.STDEV.P(D49:D54)</f>
        <v>82782.446783522086</v>
      </c>
    </row>
    <row r="56" spans="1:5" x14ac:dyDescent="0.3">
      <c r="A56" s="1" t="s">
        <v>5</v>
      </c>
      <c r="B56">
        <v>91</v>
      </c>
      <c r="C56">
        <v>2044</v>
      </c>
      <c r="D56">
        <v>135168</v>
      </c>
      <c r="E56" t="s">
        <v>49</v>
      </c>
    </row>
    <row r="57" spans="1:5" x14ac:dyDescent="0.3">
      <c r="A57" s="1" t="s">
        <v>6</v>
      </c>
      <c r="B57">
        <v>45</v>
      </c>
      <c r="C57">
        <v>1533</v>
      </c>
      <c r="D57">
        <v>131072</v>
      </c>
      <c r="E57" t="s">
        <v>49</v>
      </c>
    </row>
    <row r="60" spans="1:5" x14ac:dyDescent="0.3">
      <c r="A60" s="1" t="s">
        <v>71</v>
      </c>
      <c r="B60" t="s">
        <v>72</v>
      </c>
      <c r="C60" t="s">
        <v>73</v>
      </c>
      <c r="D60" t="s">
        <v>74</v>
      </c>
    </row>
    <row r="61" spans="1:5" x14ac:dyDescent="0.3">
      <c r="A61">
        <v>5</v>
      </c>
      <c r="B61">
        <v>58.2</v>
      </c>
      <c r="C61">
        <v>100</v>
      </c>
      <c r="D61">
        <v>75</v>
      </c>
    </row>
    <row r="62" spans="1:5" x14ac:dyDescent="0.3">
      <c r="A62">
        <v>7</v>
      </c>
      <c r="B62">
        <v>99.4</v>
      </c>
      <c r="C62">
        <v>146</v>
      </c>
      <c r="D62">
        <v>116</v>
      </c>
    </row>
    <row r="63" spans="1:5" x14ac:dyDescent="0.3">
      <c r="A63">
        <v>9</v>
      </c>
      <c r="B63">
        <v>79.599999999999994</v>
      </c>
      <c r="C63">
        <v>137</v>
      </c>
      <c r="D63">
        <v>78</v>
      </c>
    </row>
    <row r="64" spans="1:5" x14ac:dyDescent="0.3">
      <c r="A64">
        <v>11</v>
      </c>
      <c r="B64">
        <v>49.4</v>
      </c>
      <c r="C64">
        <v>90</v>
      </c>
      <c r="D64">
        <v>45</v>
      </c>
    </row>
    <row r="65" spans="1:4" x14ac:dyDescent="0.3">
      <c r="A65">
        <v>13</v>
      </c>
      <c r="B65">
        <v>54.2</v>
      </c>
      <c r="C65">
        <v>91</v>
      </c>
      <c r="D65">
        <v>45</v>
      </c>
    </row>
    <row r="75" spans="1:4" x14ac:dyDescent="0.3">
      <c r="A75" s="1" t="s">
        <v>71</v>
      </c>
      <c r="B75" t="s">
        <v>76</v>
      </c>
      <c r="C75" t="s">
        <v>75</v>
      </c>
      <c r="D75" t="s">
        <v>77</v>
      </c>
    </row>
    <row r="76" spans="1:4" x14ac:dyDescent="0.3">
      <c r="A76">
        <v>5</v>
      </c>
      <c r="B76">
        <v>973.8</v>
      </c>
      <c r="C76">
        <v>1010</v>
      </c>
      <c r="D76">
        <v>1034</v>
      </c>
    </row>
    <row r="77" spans="1:4" x14ac:dyDescent="0.3">
      <c r="A77">
        <v>7</v>
      </c>
      <c r="B77">
        <v>1245.8</v>
      </c>
      <c r="C77">
        <v>1288</v>
      </c>
      <c r="D77">
        <v>1068</v>
      </c>
    </row>
    <row r="78" spans="1:4" x14ac:dyDescent="0.3">
      <c r="A78">
        <v>9</v>
      </c>
      <c r="B78">
        <v>922.2</v>
      </c>
      <c r="C78">
        <v>1056</v>
      </c>
      <c r="D78">
        <v>1490</v>
      </c>
    </row>
    <row r="79" spans="1:4" x14ac:dyDescent="0.3">
      <c r="A79">
        <v>11</v>
      </c>
      <c r="B79">
        <v>1223.8</v>
      </c>
      <c r="C79">
        <v>1749</v>
      </c>
      <c r="D79">
        <v>1456</v>
      </c>
    </row>
    <row r="80" spans="1:4" x14ac:dyDescent="0.3">
      <c r="A80">
        <v>13</v>
      </c>
      <c r="B80">
        <v>1394.6</v>
      </c>
      <c r="C80">
        <v>2044</v>
      </c>
      <c r="D80">
        <v>1533</v>
      </c>
    </row>
    <row r="92" spans="1:4" x14ac:dyDescent="0.3">
      <c r="A92" s="1" t="s">
        <v>71</v>
      </c>
      <c r="B92" t="s">
        <v>76</v>
      </c>
      <c r="C92" t="s">
        <v>75</v>
      </c>
      <c r="D92" t="s">
        <v>77</v>
      </c>
    </row>
    <row r="93" spans="1:4" x14ac:dyDescent="0.3">
      <c r="A93">
        <v>5</v>
      </c>
      <c r="B93">
        <v>2351923.2000000002</v>
      </c>
      <c r="C93">
        <v>131072</v>
      </c>
      <c r="D93">
        <v>122880</v>
      </c>
    </row>
    <row r="94" spans="1:4" x14ac:dyDescent="0.3">
      <c r="A94">
        <v>7</v>
      </c>
      <c r="B94">
        <v>2442035.2000000002</v>
      </c>
      <c r="C94">
        <v>98304</v>
      </c>
      <c r="D94">
        <v>126976</v>
      </c>
    </row>
    <row r="95" spans="1:4" x14ac:dyDescent="0.3">
      <c r="A95">
        <v>9</v>
      </c>
      <c r="B95">
        <v>2415001.6000000001</v>
      </c>
      <c r="C95">
        <v>98317</v>
      </c>
      <c r="D95">
        <v>126976</v>
      </c>
    </row>
    <row r="96" spans="1:4" x14ac:dyDescent="0.3">
      <c r="A96">
        <v>11</v>
      </c>
      <c r="B96">
        <v>2564096</v>
      </c>
      <c r="C96">
        <v>131072</v>
      </c>
      <c r="D96">
        <v>131072</v>
      </c>
    </row>
    <row r="97" spans="1:4" x14ac:dyDescent="0.3">
      <c r="A97">
        <v>13</v>
      </c>
      <c r="B97">
        <v>2649292.7999999998</v>
      </c>
      <c r="C97">
        <v>135168</v>
      </c>
      <c r="D97">
        <v>131072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5253-8DD9-4C22-8817-1C3490B2755F}">
  <dimension ref="A1:E96"/>
  <sheetViews>
    <sheetView topLeftCell="A70" zoomScaleNormal="100" workbookViewId="0">
      <selection activeCell="M70" sqref="M70"/>
    </sheetView>
  </sheetViews>
  <sheetFormatPr defaultRowHeight="14.4" x14ac:dyDescent="0.3"/>
  <cols>
    <col min="1" max="1" width="23.21875" customWidth="1"/>
    <col min="2" max="2" width="13.77734375" customWidth="1"/>
    <col min="3" max="3" width="18.44140625" customWidth="1"/>
    <col min="4" max="4" width="20.21875" customWidth="1"/>
    <col min="5" max="5" width="31.5546875" customWidth="1"/>
  </cols>
  <sheetData>
    <row r="1" spans="1:5" x14ac:dyDescent="0.3">
      <c r="A1" s="1" t="s">
        <v>17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1" t="s">
        <v>1</v>
      </c>
      <c r="B2">
        <v>116</v>
      </c>
      <c r="C2">
        <v>1291</v>
      </c>
      <c r="D2">
        <v>2023424</v>
      </c>
      <c r="E2" t="s">
        <v>11</v>
      </c>
    </row>
    <row r="3" spans="1:5" x14ac:dyDescent="0.3">
      <c r="A3" s="1" t="s">
        <v>2</v>
      </c>
      <c r="B3">
        <v>97</v>
      </c>
      <c r="C3">
        <v>1291</v>
      </c>
      <c r="D3">
        <v>2707456</v>
      </c>
      <c r="E3" t="s">
        <v>11</v>
      </c>
    </row>
    <row r="4" spans="1:5" x14ac:dyDescent="0.3">
      <c r="A4" s="1" t="s">
        <v>3</v>
      </c>
      <c r="B4">
        <v>115</v>
      </c>
      <c r="C4">
        <v>1204</v>
      </c>
      <c r="D4">
        <v>2183168</v>
      </c>
      <c r="E4" t="s">
        <v>11</v>
      </c>
    </row>
    <row r="5" spans="1:5" x14ac:dyDescent="0.3">
      <c r="A5" s="1" t="s">
        <v>30</v>
      </c>
      <c r="B5">
        <v>75</v>
      </c>
      <c r="C5">
        <v>1337</v>
      </c>
      <c r="D5">
        <v>1929216</v>
      </c>
      <c r="E5" t="s">
        <v>11</v>
      </c>
    </row>
    <row r="6" spans="1:5" x14ac:dyDescent="0.3">
      <c r="A6" s="1" t="s">
        <v>31</v>
      </c>
      <c r="B6">
        <v>65</v>
      </c>
      <c r="C6">
        <v>1330</v>
      </c>
      <c r="D6">
        <v>2408448</v>
      </c>
      <c r="E6" t="s">
        <v>11</v>
      </c>
    </row>
    <row r="7" spans="1:5" x14ac:dyDescent="0.3">
      <c r="A7" s="1" t="s">
        <v>4</v>
      </c>
      <c r="B7">
        <f>AVERAGE(B2:B6)</f>
        <v>93.6</v>
      </c>
      <c r="C7">
        <f>AVERAGE(C2:C6)</f>
        <v>1290.5999999999999</v>
      </c>
      <c r="D7">
        <f>AVERAGE(D2:D6)</f>
        <v>2250342.3999999999</v>
      </c>
    </row>
    <row r="8" spans="1:5" x14ac:dyDescent="0.3">
      <c r="A8" s="1" t="s">
        <v>29</v>
      </c>
      <c r="B8">
        <f>_xlfn.STDEV.P(B2:B6)</f>
        <v>20.664946164943185</v>
      </c>
      <c r="C8">
        <f>_xlfn.STDEV.P(C2:C6)</f>
        <v>47.339623995126956</v>
      </c>
      <c r="D8">
        <f>_xlfn.STDEV.P(D2:D6)</f>
        <v>280384.28954105114</v>
      </c>
    </row>
    <row r="9" spans="1:5" x14ac:dyDescent="0.3">
      <c r="A9" s="1" t="s">
        <v>5</v>
      </c>
      <c r="B9">
        <v>142</v>
      </c>
      <c r="C9">
        <v>1227</v>
      </c>
      <c r="D9">
        <v>98304</v>
      </c>
      <c r="E9" t="s">
        <v>11</v>
      </c>
    </row>
    <row r="10" spans="1:5" x14ac:dyDescent="0.3">
      <c r="A10" s="1" t="s">
        <v>6</v>
      </c>
      <c r="B10">
        <v>97</v>
      </c>
      <c r="C10">
        <v>1254</v>
      </c>
      <c r="D10">
        <v>131072</v>
      </c>
      <c r="E10" t="s">
        <v>11</v>
      </c>
    </row>
    <row r="13" spans="1:5" x14ac:dyDescent="0.3">
      <c r="A13" s="1" t="s">
        <v>0</v>
      </c>
      <c r="B13" s="1" t="s">
        <v>7</v>
      </c>
      <c r="C13" s="1" t="s">
        <v>8</v>
      </c>
      <c r="D13" s="1" t="s">
        <v>9</v>
      </c>
      <c r="E13" s="1" t="s">
        <v>10</v>
      </c>
    </row>
    <row r="14" spans="1:5" x14ac:dyDescent="0.3">
      <c r="A14" s="1" t="s">
        <v>1</v>
      </c>
      <c r="B14">
        <v>144</v>
      </c>
      <c r="C14">
        <v>1379</v>
      </c>
      <c r="D14">
        <v>2621440</v>
      </c>
      <c r="E14" t="s">
        <v>11</v>
      </c>
    </row>
    <row r="15" spans="1:5" x14ac:dyDescent="0.3">
      <c r="A15" s="1" t="s">
        <v>2</v>
      </c>
      <c r="B15">
        <v>136</v>
      </c>
      <c r="C15">
        <v>1459</v>
      </c>
      <c r="D15">
        <v>2600960</v>
      </c>
      <c r="E15" t="s">
        <v>12</v>
      </c>
    </row>
    <row r="16" spans="1:5" x14ac:dyDescent="0.3">
      <c r="A16" s="1" t="s">
        <v>3</v>
      </c>
      <c r="B16">
        <v>128</v>
      </c>
      <c r="C16">
        <v>1334</v>
      </c>
      <c r="D16">
        <v>2539520</v>
      </c>
      <c r="E16" t="s">
        <v>11</v>
      </c>
    </row>
    <row r="17" spans="1:5" x14ac:dyDescent="0.3">
      <c r="A17" s="1" t="s">
        <v>30</v>
      </c>
      <c r="B17">
        <v>74</v>
      </c>
      <c r="C17">
        <v>1481</v>
      </c>
      <c r="D17">
        <v>2392064</v>
      </c>
      <c r="E17" t="s">
        <v>12</v>
      </c>
    </row>
    <row r="18" spans="1:5" x14ac:dyDescent="0.3">
      <c r="A18" s="1" t="s">
        <v>31</v>
      </c>
      <c r="B18">
        <v>66</v>
      </c>
      <c r="C18">
        <v>1329</v>
      </c>
      <c r="D18">
        <v>2715648</v>
      </c>
      <c r="E18" t="s">
        <v>27</v>
      </c>
    </row>
    <row r="19" spans="1:5" x14ac:dyDescent="0.3">
      <c r="A19" s="1" t="s">
        <v>28</v>
      </c>
      <c r="B19">
        <f>AVERAGE(B14:B18)</f>
        <v>109.6</v>
      </c>
      <c r="C19">
        <f>AVERAGE(C14:C18)</f>
        <v>1396.4</v>
      </c>
      <c r="D19">
        <f>AVERAGE(D14:D18)</f>
        <v>2573926.3999999999</v>
      </c>
    </row>
    <row r="20" spans="1:5" x14ac:dyDescent="0.3">
      <c r="A20" s="1" t="s">
        <v>29</v>
      </c>
      <c r="B20">
        <f>_xlfn.STDEV.P(B14:B18)</f>
        <v>32.824381182285826</v>
      </c>
      <c r="C20">
        <f>_xlfn.STDEV.P(C14:C18)</f>
        <v>62.952680641891654</v>
      </c>
      <c r="D20">
        <f>_xlfn.STDEV.P(D14:D16)</f>
        <v>34809.306546126747</v>
      </c>
      <c r="E20" s="1"/>
    </row>
    <row r="21" spans="1:5" x14ac:dyDescent="0.3">
      <c r="A21" s="1" t="s">
        <v>5</v>
      </c>
      <c r="B21">
        <v>142</v>
      </c>
      <c r="C21">
        <v>1368</v>
      </c>
      <c r="D21">
        <v>98304</v>
      </c>
      <c r="E21" t="s">
        <v>12</v>
      </c>
    </row>
    <row r="22" spans="1:5" x14ac:dyDescent="0.3">
      <c r="A22" s="1" t="s">
        <v>6</v>
      </c>
      <c r="B22">
        <v>182</v>
      </c>
      <c r="C22">
        <v>2354</v>
      </c>
      <c r="D22">
        <v>98304</v>
      </c>
      <c r="E22" t="s">
        <v>13</v>
      </c>
    </row>
    <row r="23" spans="1:5" x14ac:dyDescent="0.3">
      <c r="A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 t="s">
        <v>14</v>
      </c>
      <c r="B25" s="1" t="s">
        <v>7</v>
      </c>
      <c r="C25" s="1" t="s">
        <v>8</v>
      </c>
      <c r="D25" s="1" t="s">
        <v>9</v>
      </c>
      <c r="E25" s="1" t="s">
        <v>10</v>
      </c>
    </row>
    <row r="26" spans="1:5" x14ac:dyDescent="0.3">
      <c r="A26" s="1" t="s">
        <v>1</v>
      </c>
      <c r="B26">
        <v>179</v>
      </c>
      <c r="C26">
        <v>1848</v>
      </c>
      <c r="D26">
        <v>2158592</v>
      </c>
      <c r="E26" t="s">
        <v>12</v>
      </c>
    </row>
    <row r="27" spans="1:5" x14ac:dyDescent="0.3">
      <c r="A27" s="1" t="s">
        <v>2</v>
      </c>
      <c r="B27">
        <v>144</v>
      </c>
      <c r="C27">
        <v>1121</v>
      </c>
      <c r="D27">
        <v>2490368</v>
      </c>
      <c r="E27" t="s">
        <v>15</v>
      </c>
    </row>
    <row r="28" spans="1:5" x14ac:dyDescent="0.3">
      <c r="A28" s="1" t="s">
        <v>3</v>
      </c>
      <c r="B28">
        <v>176</v>
      </c>
      <c r="C28">
        <v>1698</v>
      </c>
      <c r="D28">
        <v>2367488</v>
      </c>
      <c r="E28" t="s">
        <v>16</v>
      </c>
    </row>
    <row r="29" spans="1:5" x14ac:dyDescent="0.3">
      <c r="A29" s="1" t="s">
        <v>30</v>
      </c>
      <c r="B29">
        <v>58</v>
      </c>
      <c r="C29">
        <v>902</v>
      </c>
      <c r="D29">
        <v>1892352</v>
      </c>
      <c r="E29" t="s">
        <v>15</v>
      </c>
    </row>
    <row r="30" spans="1:5" x14ac:dyDescent="0.3">
      <c r="A30" s="1" t="s">
        <v>31</v>
      </c>
      <c r="B30">
        <v>88</v>
      </c>
      <c r="C30">
        <v>1479</v>
      </c>
      <c r="D30">
        <v>2371584</v>
      </c>
      <c r="E30" t="s">
        <v>12</v>
      </c>
    </row>
    <row r="31" spans="1:5" x14ac:dyDescent="0.3">
      <c r="A31" s="1" t="s">
        <v>4</v>
      </c>
      <c r="B31">
        <f>AVERAGE(B26:B30)</f>
        <v>129</v>
      </c>
      <c r="C31">
        <f>AVERAGE(C26:C30)</f>
        <v>1409.6</v>
      </c>
      <c r="D31">
        <f>AVERAGE(D26:D30)</f>
        <v>2256076.7999999998</v>
      </c>
      <c r="E31" s="1"/>
    </row>
    <row r="32" spans="1:5" x14ac:dyDescent="0.3">
      <c r="A32" s="1" t="s">
        <v>29</v>
      </c>
      <c r="B32">
        <f>_xlfn.STDEV.P(B26:B30)</f>
        <v>48.282502006420501</v>
      </c>
      <c r="C32">
        <f>_xlfn.STDEV.P(C26:C30)</f>
        <v>352.45799749757418</v>
      </c>
      <c r="D32">
        <f>_xlfn.STDEV.P(D26:D30)</f>
        <v>210924.51327467844</v>
      </c>
      <c r="E32" s="1"/>
    </row>
    <row r="33" spans="1:5" x14ac:dyDescent="0.3">
      <c r="A33" s="1" t="s">
        <v>5</v>
      </c>
      <c r="B33">
        <v>193</v>
      </c>
      <c r="C33">
        <v>1815</v>
      </c>
      <c r="D33">
        <v>98304</v>
      </c>
      <c r="E33" t="s">
        <v>16</v>
      </c>
    </row>
    <row r="34" spans="1:5" x14ac:dyDescent="0.3">
      <c r="A34" s="1" t="s">
        <v>6</v>
      </c>
      <c r="B34">
        <v>189</v>
      </c>
      <c r="C34">
        <v>2354</v>
      </c>
      <c r="D34">
        <v>98304</v>
      </c>
      <c r="E34" t="s">
        <v>13</v>
      </c>
    </row>
    <row r="35" spans="1:5" x14ac:dyDescent="0.3">
      <c r="A35" s="1"/>
      <c r="B35" s="1"/>
      <c r="C35" s="1"/>
      <c r="D35" s="1"/>
      <c r="E35" s="1"/>
    </row>
    <row r="37" spans="1:5" x14ac:dyDescent="0.3">
      <c r="A37" s="1" t="s">
        <v>42</v>
      </c>
      <c r="B37" s="1" t="s">
        <v>7</v>
      </c>
      <c r="C37" s="1" t="s">
        <v>8</v>
      </c>
      <c r="D37" s="1" t="s">
        <v>9</v>
      </c>
      <c r="E37" s="1" t="s">
        <v>10</v>
      </c>
    </row>
    <row r="38" spans="1:5" x14ac:dyDescent="0.3">
      <c r="A38" s="1" t="s">
        <v>1</v>
      </c>
      <c r="B38">
        <v>57</v>
      </c>
      <c r="C38">
        <v>1342</v>
      </c>
      <c r="D38">
        <v>2363392</v>
      </c>
      <c r="E38" t="s">
        <v>11</v>
      </c>
    </row>
    <row r="39" spans="1:5" x14ac:dyDescent="0.3">
      <c r="A39" s="1" t="s">
        <v>2</v>
      </c>
      <c r="B39">
        <v>51</v>
      </c>
      <c r="C39">
        <v>1497</v>
      </c>
      <c r="D39">
        <v>2420736</v>
      </c>
      <c r="E39" t="s">
        <v>11</v>
      </c>
    </row>
    <row r="40" spans="1:5" x14ac:dyDescent="0.3">
      <c r="A40" s="1" t="s">
        <v>3</v>
      </c>
      <c r="B40">
        <v>45</v>
      </c>
      <c r="C40">
        <v>1130</v>
      </c>
      <c r="D40">
        <v>2265088</v>
      </c>
      <c r="E40" t="s">
        <v>11</v>
      </c>
    </row>
    <row r="41" spans="1:5" x14ac:dyDescent="0.3">
      <c r="A41" s="1" t="s">
        <v>30</v>
      </c>
      <c r="B41">
        <v>46</v>
      </c>
      <c r="C41">
        <v>1161</v>
      </c>
      <c r="D41">
        <v>2871296</v>
      </c>
      <c r="E41" t="s">
        <v>11</v>
      </c>
    </row>
    <row r="42" spans="1:5" x14ac:dyDescent="0.3">
      <c r="A42" s="1" t="s">
        <v>31</v>
      </c>
      <c r="B42">
        <v>48</v>
      </c>
      <c r="C42">
        <v>1223</v>
      </c>
      <c r="D42">
        <v>2527232</v>
      </c>
      <c r="E42" t="s">
        <v>11</v>
      </c>
    </row>
    <row r="43" spans="1:5" x14ac:dyDescent="0.3">
      <c r="A43" s="1" t="s">
        <v>4</v>
      </c>
      <c r="B43">
        <f>AVERAGE(B38:B42)</f>
        <v>49.4</v>
      </c>
      <c r="C43">
        <f>AVERAGE(C38:C42)</f>
        <v>1270.5999999999999</v>
      </c>
      <c r="D43">
        <f>AVERAGE(D38:D42)</f>
        <v>2489548.7999999998</v>
      </c>
    </row>
    <row r="44" spans="1:5" x14ac:dyDescent="0.3">
      <c r="A44" s="1" t="s">
        <v>29</v>
      </c>
      <c r="B44">
        <f>_xlfn.STDEV.P(B38:B42)</f>
        <v>4.3174066289845801</v>
      </c>
      <c r="C44">
        <f>_xlfn.STDEV.P(C38:C42)</f>
        <v>134.46278295498723</v>
      </c>
      <c r="D44">
        <f>_xlfn.STDEV.P(D38:D42)</f>
        <v>208894.39371931454</v>
      </c>
    </row>
    <row r="45" spans="1:5" x14ac:dyDescent="0.3">
      <c r="A45" s="1" t="s">
        <v>5</v>
      </c>
      <c r="B45">
        <v>65</v>
      </c>
      <c r="C45">
        <v>1458</v>
      </c>
      <c r="D45">
        <v>126976</v>
      </c>
      <c r="E45" t="s">
        <v>20</v>
      </c>
    </row>
    <row r="46" spans="1:5" x14ac:dyDescent="0.3">
      <c r="A46" s="1" t="s">
        <v>6</v>
      </c>
      <c r="B46">
        <v>43</v>
      </c>
      <c r="C46">
        <v>1188</v>
      </c>
      <c r="D46">
        <v>131072</v>
      </c>
      <c r="E46" t="s">
        <v>11</v>
      </c>
    </row>
    <row r="48" spans="1:5" x14ac:dyDescent="0.3">
      <c r="A48" s="1" t="s">
        <v>43</v>
      </c>
      <c r="B48" s="1" t="s">
        <v>7</v>
      </c>
      <c r="C48" s="1" t="s">
        <v>8</v>
      </c>
      <c r="D48" s="1" t="s">
        <v>9</v>
      </c>
      <c r="E48" s="1" t="s">
        <v>10</v>
      </c>
    </row>
    <row r="49" spans="1:5" x14ac:dyDescent="0.3">
      <c r="A49" s="1" t="s">
        <v>1</v>
      </c>
      <c r="B49">
        <v>41</v>
      </c>
      <c r="C49">
        <v>1233</v>
      </c>
      <c r="D49">
        <v>2494464</v>
      </c>
      <c r="E49" t="s">
        <v>44</v>
      </c>
    </row>
    <row r="50" spans="1:5" x14ac:dyDescent="0.3">
      <c r="A50" s="1" t="s">
        <v>2</v>
      </c>
      <c r="B50">
        <v>87</v>
      </c>
      <c r="C50">
        <v>1607</v>
      </c>
      <c r="D50">
        <v>2547712</v>
      </c>
      <c r="E50" t="s">
        <v>11</v>
      </c>
    </row>
    <row r="51" spans="1:5" x14ac:dyDescent="0.3">
      <c r="A51" s="1" t="s">
        <v>3</v>
      </c>
      <c r="B51">
        <v>84</v>
      </c>
      <c r="C51">
        <v>1601</v>
      </c>
      <c r="D51">
        <v>2285568</v>
      </c>
      <c r="E51" t="s">
        <v>11</v>
      </c>
    </row>
    <row r="52" spans="1:5" x14ac:dyDescent="0.3">
      <c r="A52" s="1" t="s">
        <v>30</v>
      </c>
      <c r="B52">
        <v>32</v>
      </c>
      <c r="C52">
        <v>1050</v>
      </c>
      <c r="D52">
        <v>2580480</v>
      </c>
      <c r="E52" t="s">
        <v>49</v>
      </c>
    </row>
    <row r="53" spans="1:5" x14ac:dyDescent="0.3">
      <c r="A53" s="1" t="s">
        <v>31</v>
      </c>
      <c r="B53">
        <v>100</v>
      </c>
      <c r="C53">
        <v>3157</v>
      </c>
      <c r="D53">
        <v>2850816</v>
      </c>
      <c r="E53" t="s">
        <v>68</v>
      </c>
    </row>
    <row r="54" spans="1:5" x14ac:dyDescent="0.3">
      <c r="A54" s="1" t="s">
        <v>4</v>
      </c>
      <c r="B54">
        <f>AVERAGE(B49:B53)</f>
        <v>68.8</v>
      </c>
      <c r="C54">
        <f>AVERAGE(C49:C53)</f>
        <v>1729.6</v>
      </c>
      <c r="D54">
        <f>AVERAGE(D49:D53)</f>
        <v>2551808</v>
      </c>
    </row>
    <row r="55" spans="1:5" x14ac:dyDescent="0.3">
      <c r="A55" s="1" t="s">
        <v>29</v>
      </c>
      <c r="B55">
        <f>_xlfn.STDEV.P(B49:B53)</f>
        <v>27.065845636151845</v>
      </c>
      <c r="C55">
        <f>_xlfn.STDEV.P(C49:C53)</f>
        <v>745.3196897976062</v>
      </c>
      <c r="D55">
        <f>_xlfn.STDEV.P(D49:D53)</f>
        <v>181337.65014469554</v>
      </c>
    </row>
    <row r="56" spans="1:5" x14ac:dyDescent="0.3">
      <c r="A56" s="1" t="s">
        <v>5</v>
      </c>
      <c r="B56">
        <v>91</v>
      </c>
      <c r="C56">
        <v>1786</v>
      </c>
      <c r="D56">
        <v>126976</v>
      </c>
      <c r="E56" t="s">
        <v>46</v>
      </c>
    </row>
    <row r="57" spans="1:5" x14ac:dyDescent="0.3">
      <c r="A57" s="1" t="s">
        <v>6</v>
      </c>
      <c r="B57">
        <v>74</v>
      </c>
      <c r="C57">
        <v>1485</v>
      </c>
      <c r="D57">
        <v>134822</v>
      </c>
      <c r="E57" t="s">
        <v>16</v>
      </c>
    </row>
    <row r="60" spans="1:5" x14ac:dyDescent="0.3">
      <c r="A60" s="1" t="s">
        <v>71</v>
      </c>
      <c r="B60" t="s">
        <v>76</v>
      </c>
      <c r="C60" t="s">
        <v>75</v>
      </c>
      <c r="D60" t="s">
        <v>77</v>
      </c>
    </row>
    <row r="61" spans="1:5" x14ac:dyDescent="0.3">
      <c r="A61">
        <v>5</v>
      </c>
      <c r="B61">
        <v>93.6</v>
      </c>
      <c r="C61">
        <v>142</v>
      </c>
      <c r="D61">
        <v>97</v>
      </c>
    </row>
    <row r="62" spans="1:5" x14ac:dyDescent="0.3">
      <c r="A62">
        <v>7</v>
      </c>
      <c r="B62">
        <v>109.6</v>
      </c>
      <c r="C62">
        <v>142</v>
      </c>
      <c r="D62">
        <v>182</v>
      </c>
    </row>
    <row r="63" spans="1:5" x14ac:dyDescent="0.3">
      <c r="A63">
        <v>9</v>
      </c>
      <c r="B63">
        <v>129</v>
      </c>
      <c r="C63">
        <v>193</v>
      </c>
      <c r="D63">
        <v>189</v>
      </c>
    </row>
    <row r="64" spans="1:5" x14ac:dyDescent="0.3">
      <c r="A64">
        <v>11</v>
      </c>
      <c r="B64">
        <v>49.4</v>
      </c>
      <c r="C64">
        <v>65</v>
      </c>
      <c r="D64">
        <v>43</v>
      </c>
    </row>
    <row r="65" spans="1:4" x14ac:dyDescent="0.3">
      <c r="A65">
        <v>13</v>
      </c>
      <c r="B65">
        <v>68.8</v>
      </c>
      <c r="C65">
        <v>91</v>
      </c>
      <c r="D65">
        <v>74</v>
      </c>
    </row>
    <row r="76" spans="1:4" x14ac:dyDescent="0.3">
      <c r="A76" s="1" t="s">
        <v>71</v>
      </c>
      <c r="B76" t="s">
        <v>76</v>
      </c>
      <c r="C76" t="s">
        <v>75</v>
      </c>
      <c r="D76" t="s">
        <v>77</v>
      </c>
    </row>
    <row r="77" spans="1:4" x14ac:dyDescent="0.3">
      <c r="A77">
        <v>5</v>
      </c>
      <c r="B77">
        <v>1290.5999999999999</v>
      </c>
      <c r="C77">
        <v>1227</v>
      </c>
      <c r="D77">
        <v>1254</v>
      </c>
    </row>
    <row r="78" spans="1:4" x14ac:dyDescent="0.3">
      <c r="A78">
        <v>7</v>
      </c>
      <c r="B78">
        <v>1396.4</v>
      </c>
      <c r="C78">
        <v>1368</v>
      </c>
      <c r="D78">
        <v>2354</v>
      </c>
    </row>
    <row r="79" spans="1:4" x14ac:dyDescent="0.3">
      <c r="A79">
        <v>9</v>
      </c>
      <c r="B79">
        <v>1409.6</v>
      </c>
      <c r="C79">
        <v>1815</v>
      </c>
      <c r="D79">
        <v>2354</v>
      </c>
    </row>
    <row r="80" spans="1:4" x14ac:dyDescent="0.3">
      <c r="A80">
        <v>11</v>
      </c>
      <c r="B80">
        <v>1270.5999999999999</v>
      </c>
      <c r="C80">
        <v>1458</v>
      </c>
      <c r="D80">
        <v>1188</v>
      </c>
    </row>
    <row r="81" spans="1:4" x14ac:dyDescent="0.3">
      <c r="A81">
        <v>13</v>
      </c>
      <c r="B81">
        <v>1729.6</v>
      </c>
      <c r="C81">
        <v>1786</v>
      </c>
      <c r="D81">
        <v>1485</v>
      </c>
    </row>
    <row r="91" spans="1:4" x14ac:dyDescent="0.3">
      <c r="A91" s="1" t="s">
        <v>71</v>
      </c>
      <c r="B91" t="s">
        <v>76</v>
      </c>
      <c r="C91" t="s">
        <v>75</v>
      </c>
      <c r="D91" t="s">
        <v>77</v>
      </c>
    </row>
    <row r="92" spans="1:4" x14ac:dyDescent="0.3">
      <c r="A92">
        <v>5</v>
      </c>
      <c r="B92">
        <v>2250342.3999999999</v>
      </c>
      <c r="C92">
        <v>98304</v>
      </c>
      <c r="D92">
        <v>131072</v>
      </c>
    </row>
    <row r="93" spans="1:4" x14ac:dyDescent="0.3">
      <c r="A93">
        <v>7</v>
      </c>
      <c r="B93">
        <v>2573926.3999999999</v>
      </c>
      <c r="C93">
        <v>98304</v>
      </c>
      <c r="D93">
        <v>98304</v>
      </c>
    </row>
    <row r="94" spans="1:4" x14ac:dyDescent="0.3">
      <c r="A94">
        <v>9</v>
      </c>
      <c r="B94">
        <v>2256076.7999999998</v>
      </c>
      <c r="C94">
        <v>98304</v>
      </c>
      <c r="D94">
        <v>98304</v>
      </c>
    </row>
    <row r="95" spans="1:4" x14ac:dyDescent="0.3">
      <c r="A95">
        <v>11</v>
      </c>
      <c r="B95">
        <v>2489548.7999999998</v>
      </c>
      <c r="C95">
        <v>126976</v>
      </c>
      <c r="D95">
        <v>131072</v>
      </c>
    </row>
    <row r="96" spans="1:4" x14ac:dyDescent="0.3">
      <c r="A96">
        <v>13</v>
      </c>
      <c r="B96">
        <v>2551808</v>
      </c>
      <c r="C96">
        <v>126976</v>
      </c>
      <c r="D96">
        <v>134822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0F33-CC09-4F5C-A22E-0CC2239A01D4}">
  <dimension ref="A1:E100"/>
  <sheetViews>
    <sheetView tabSelected="1" topLeftCell="A64" workbookViewId="0">
      <selection activeCell="D61" sqref="D61"/>
    </sheetView>
  </sheetViews>
  <sheetFormatPr defaultRowHeight="14.4" x14ac:dyDescent="0.3"/>
  <cols>
    <col min="1" max="1" width="30.33203125" customWidth="1"/>
    <col min="3" max="3" width="17" customWidth="1"/>
    <col min="4" max="4" width="21.44140625" customWidth="1"/>
    <col min="5" max="5" width="33.77734375" customWidth="1"/>
  </cols>
  <sheetData>
    <row r="1" spans="1:5" x14ac:dyDescent="0.3">
      <c r="A1" s="1" t="s">
        <v>23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1" t="s">
        <v>1</v>
      </c>
      <c r="B2">
        <v>47</v>
      </c>
      <c r="C2">
        <v>1259</v>
      </c>
      <c r="D2">
        <v>2109440</v>
      </c>
      <c r="E2" t="s">
        <v>11</v>
      </c>
    </row>
    <row r="3" spans="1:5" x14ac:dyDescent="0.3">
      <c r="A3" s="1" t="s">
        <v>2</v>
      </c>
      <c r="B3">
        <v>43</v>
      </c>
      <c r="C3">
        <v>1118</v>
      </c>
      <c r="D3">
        <v>1581056</v>
      </c>
      <c r="E3" t="s">
        <v>11</v>
      </c>
    </row>
    <row r="4" spans="1:5" x14ac:dyDescent="0.3">
      <c r="A4" s="1" t="s">
        <v>3</v>
      </c>
      <c r="B4">
        <v>57</v>
      </c>
      <c r="C4">
        <v>1207</v>
      </c>
      <c r="D4">
        <v>1826816</v>
      </c>
      <c r="E4" t="s">
        <v>11</v>
      </c>
    </row>
    <row r="5" spans="1:5" x14ac:dyDescent="0.3">
      <c r="A5" s="1" t="s">
        <v>30</v>
      </c>
      <c r="B5">
        <v>40</v>
      </c>
      <c r="C5">
        <v>1119</v>
      </c>
      <c r="D5">
        <v>1781760</v>
      </c>
      <c r="E5" t="s">
        <v>11</v>
      </c>
    </row>
    <row r="6" spans="1:5" x14ac:dyDescent="0.3">
      <c r="A6" s="1" t="s">
        <v>31</v>
      </c>
      <c r="B6">
        <v>37</v>
      </c>
      <c r="C6">
        <v>1087</v>
      </c>
      <c r="D6">
        <v>2068480</v>
      </c>
      <c r="E6" t="s">
        <v>11</v>
      </c>
    </row>
    <row r="7" spans="1:5" x14ac:dyDescent="0.3">
      <c r="A7" s="1" t="s">
        <v>4</v>
      </c>
      <c r="B7">
        <f>AVERAGE(B2:B6)</f>
        <v>44.8</v>
      </c>
      <c r="C7">
        <f>AVERAGE(C2:C6)</f>
        <v>1158</v>
      </c>
      <c r="D7">
        <f>AVERAGE(D2:D6)</f>
        <v>1873510.3999999999</v>
      </c>
    </row>
    <row r="8" spans="1:5" x14ac:dyDescent="0.3">
      <c r="A8" s="1" t="s">
        <v>29</v>
      </c>
      <c r="B8">
        <f>_xlfn.STDEV.P(B2:B6)</f>
        <v>6.9397406291589885</v>
      </c>
      <c r="C8">
        <f>_xlfn.STDEV.P(C2:C6)</f>
        <v>64.442222183906722</v>
      </c>
      <c r="D8">
        <f>_xlfn.STDEV.P(D2:D6)</f>
        <v>194835.31510031747</v>
      </c>
    </row>
    <row r="9" spans="1:5" x14ac:dyDescent="0.3">
      <c r="A9" s="1" t="s">
        <v>5</v>
      </c>
      <c r="B9">
        <v>84</v>
      </c>
      <c r="C9">
        <v>1159</v>
      </c>
      <c r="D9">
        <v>122880</v>
      </c>
      <c r="E9" t="s">
        <v>12</v>
      </c>
    </row>
    <row r="10" spans="1:5" x14ac:dyDescent="0.3">
      <c r="A10" s="1" t="s">
        <v>6</v>
      </c>
      <c r="B10">
        <v>67</v>
      </c>
      <c r="C10">
        <v>1284</v>
      </c>
      <c r="D10">
        <v>131072</v>
      </c>
      <c r="E10" t="s">
        <v>11</v>
      </c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 t="s">
        <v>24</v>
      </c>
      <c r="B13" s="1" t="s">
        <v>7</v>
      </c>
      <c r="C13" s="1" t="s">
        <v>8</v>
      </c>
      <c r="D13" s="1" t="s">
        <v>9</v>
      </c>
      <c r="E13" s="1" t="s">
        <v>10</v>
      </c>
    </row>
    <row r="14" spans="1:5" x14ac:dyDescent="0.3">
      <c r="A14" s="1" t="s">
        <v>1</v>
      </c>
      <c r="B14">
        <v>79</v>
      </c>
      <c r="C14">
        <v>1363</v>
      </c>
      <c r="D14">
        <v>2560000</v>
      </c>
      <c r="E14" t="s">
        <v>11</v>
      </c>
    </row>
    <row r="15" spans="1:5" x14ac:dyDescent="0.3">
      <c r="A15" s="1" t="s">
        <v>2</v>
      </c>
      <c r="B15">
        <v>73</v>
      </c>
      <c r="C15">
        <v>1346</v>
      </c>
      <c r="D15">
        <v>2584576</v>
      </c>
      <c r="E15" t="s">
        <v>11</v>
      </c>
    </row>
    <row r="16" spans="1:5" x14ac:dyDescent="0.3">
      <c r="A16" s="1" t="s">
        <v>3</v>
      </c>
      <c r="B16">
        <v>79</v>
      </c>
      <c r="C16">
        <v>1350</v>
      </c>
      <c r="D16">
        <v>2351104</v>
      </c>
      <c r="E16" t="s">
        <v>11</v>
      </c>
    </row>
    <row r="17" spans="1:5" x14ac:dyDescent="0.3">
      <c r="A17" s="1" t="s">
        <v>30</v>
      </c>
      <c r="B17">
        <v>62</v>
      </c>
      <c r="C17">
        <v>1566</v>
      </c>
      <c r="D17">
        <v>2486272</v>
      </c>
      <c r="E17" t="s">
        <v>26</v>
      </c>
    </row>
    <row r="18" spans="1:5" x14ac:dyDescent="0.3">
      <c r="A18" s="1" t="s">
        <v>31</v>
      </c>
      <c r="B18">
        <v>56</v>
      </c>
      <c r="C18">
        <v>1424</v>
      </c>
      <c r="D18">
        <v>2355200</v>
      </c>
      <c r="E18" t="s">
        <v>26</v>
      </c>
    </row>
    <row r="19" spans="1:5" x14ac:dyDescent="0.3">
      <c r="A19" s="1" t="s">
        <v>4</v>
      </c>
      <c r="B19">
        <f>AVERAGE(B14:B18)</f>
        <v>69.8</v>
      </c>
      <c r="C19">
        <f>AVERAGE(C14:C18)</f>
        <v>1409.8</v>
      </c>
      <c r="D19">
        <f>AVERAGE(D14:D18)</f>
        <v>2467430.3999999999</v>
      </c>
    </row>
    <row r="20" spans="1:5" x14ac:dyDescent="0.3">
      <c r="A20" s="1" t="s">
        <v>29</v>
      </c>
      <c r="B20">
        <f>_xlfn.STDEV.P(B14:B18)</f>
        <v>9.2822411086978338</v>
      </c>
      <c r="C20">
        <f>_xlfn.STDEV.P(C14:C18)</f>
        <v>82.990119893876511</v>
      </c>
      <c r="D20">
        <f>_xlfn.STDEV.P(D14:D18)</f>
        <v>98767.122419558218</v>
      </c>
    </row>
    <row r="21" spans="1:5" x14ac:dyDescent="0.3">
      <c r="A21" s="1" t="s">
        <v>5</v>
      </c>
      <c r="B21">
        <v>115</v>
      </c>
      <c r="C21">
        <v>1399</v>
      </c>
      <c r="D21">
        <v>126976</v>
      </c>
      <c r="E21" t="s">
        <v>11</v>
      </c>
    </row>
    <row r="22" spans="1:5" x14ac:dyDescent="0.3">
      <c r="A22" s="1" t="s">
        <v>6</v>
      </c>
      <c r="B22">
        <v>74</v>
      </c>
      <c r="C22">
        <v>1342</v>
      </c>
      <c r="D22">
        <v>147456</v>
      </c>
      <c r="E22" t="s">
        <v>11</v>
      </c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 t="s">
        <v>25</v>
      </c>
      <c r="B25" s="1" t="s">
        <v>7</v>
      </c>
      <c r="C25" s="1" t="s">
        <v>8</v>
      </c>
      <c r="D25" s="1" t="s">
        <v>9</v>
      </c>
      <c r="E25" s="1" t="s">
        <v>10</v>
      </c>
    </row>
    <row r="26" spans="1:5" x14ac:dyDescent="0.3">
      <c r="A26" s="1" t="s">
        <v>1</v>
      </c>
      <c r="B26">
        <v>100</v>
      </c>
      <c r="C26">
        <v>1808</v>
      </c>
      <c r="D26">
        <v>2457600</v>
      </c>
      <c r="E26" t="s">
        <v>26</v>
      </c>
    </row>
    <row r="27" spans="1:5" x14ac:dyDescent="0.3">
      <c r="A27" s="1" t="s">
        <v>2</v>
      </c>
      <c r="B27">
        <v>111</v>
      </c>
      <c r="C27">
        <v>1825</v>
      </c>
      <c r="D27">
        <v>2482176</v>
      </c>
      <c r="E27" t="s">
        <v>26</v>
      </c>
    </row>
    <row r="28" spans="1:5" x14ac:dyDescent="0.3">
      <c r="A28" s="1" t="s">
        <v>3</v>
      </c>
      <c r="B28">
        <v>103</v>
      </c>
      <c r="C28">
        <v>2233</v>
      </c>
      <c r="D28">
        <v>2211840</v>
      </c>
      <c r="E28" t="s">
        <v>27</v>
      </c>
    </row>
    <row r="29" spans="1:5" x14ac:dyDescent="0.3">
      <c r="A29" s="1" t="s">
        <v>30</v>
      </c>
      <c r="B29">
        <v>107</v>
      </c>
      <c r="C29">
        <v>1756</v>
      </c>
      <c r="D29">
        <v>2883584</v>
      </c>
      <c r="E29" t="s">
        <v>26</v>
      </c>
    </row>
    <row r="30" spans="1:5" x14ac:dyDescent="0.3">
      <c r="A30" s="1" t="s">
        <v>31</v>
      </c>
      <c r="B30">
        <v>90</v>
      </c>
      <c r="C30">
        <v>1772</v>
      </c>
      <c r="D30">
        <v>2932736</v>
      </c>
      <c r="E30" t="s">
        <v>26</v>
      </c>
    </row>
    <row r="31" spans="1:5" x14ac:dyDescent="0.3">
      <c r="A31" s="1" t="s">
        <v>4</v>
      </c>
      <c r="B31">
        <f>AVERAGE(B26:B30)</f>
        <v>102.2</v>
      </c>
      <c r="C31">
        <f>AVERAGE(C26:C30)</f>
        <v>1878.8</v>
      </c>
      <c r="D31">
        <f>AVERAGE(D26:D30)</f>
        <v>2593587.2000000002</v>
      </c>
    </row>
    <row r="32" spans="1:5" x14ac:dyDescent="0.3">
      <c r="A32" s="1" t="s">
        <v>29</v>
      </c>
      <c r="B32">
        <f>_xlfn.STDEV.P(B26:B31)</f>
        <v>6.5166453537588396</v>
      </c>
      <c r="C32">
        <f>_xlfn.STDEV.P(C26:C31)</f>
        <v>163.22316012135045</v>
      </c>
      <c r="D32">
        <f>_xlfn.STDEV.P(D26:D31)</f>
        <v>250251.85690579799</v>
      </c>
    </row>
    <row r="33" spans="1:5" x14ac:dyDescent="0.3">
      <c r="A33" s="1" t="s">
        <v>5</v>
      </c>
      <c r="B33">
        <v>127</v>
      </c>
      <c r="C33">
        <v>1550</v>
      </c>
      <c r="D33">
        <v>131072</v>
      </c>
      <c r="E33" t="s">
        <v>27</v>
      </c>
    </row>
    <row r="34" spans="1:5" x14ac:dyDescent="0.3">
      <c r="A34" s="1" t="s">
        <v>6</v>
      </c>
      <c r="B34">
        <v>105</v>
      </c>
      <c r="C34">
        <v>1768</v>
      </c>
      <c r="D34">
        <v>126976</v>
      </c>
      <c r="E34" t="s">
        <v>11</v>
      </c>
    </row>
    <row r="37" spans="1:5" x14ac:dyDescent="0.3">
      <c r="A37" s="1" t="s">
        <v>50</v>
      </c>
      <c r="B37" s="1" t="s">
        <v>7</v>
      </c>
      <c r="C37" s="1" t="s">
        <v>8</v>
      </c>
      <c r="D37" s="1" t="s">
        <v>9</v>
      </c>
      <c r="E37" s="1" t="s">
        <v>10</v>
      </c>
    </row>
    <row r="38" spans="1:5" x14ac:dyDescent="0.3">
      <c r="A38" s="1" t="s">
        <v>1</v>
      </c>
      <c r="B38">
        <v>38</v>
      </c>
      <c r="C38">
        <v>1954</v>
      </c>
      <c r="D38">
        <v>2170880</v>
      </c>
      <c r="E38" t="s">
        <v>16</v>
      </c>
    </row>
    <row r="39" spans="1:5" x14ac:dyDescent="0.3">
      <c r="A39" s="1" t="s">
        <v>2</v>
      </c>
      <c r="B39">
        <v>44</v>
      </c>
      <c r="C39">
        <v>1560</v>
      </c>
      <c r="D39">
        <v>2785280</v>
      </c>
      <c r="E39" t="s">
        <v>16</v>
      </c>
    </row>
    <row r="40" spans="1:5" x14ac:dyDescent="0.3">
      <c r="A40" s="1" t="s">
        <v>3</v>
      </c>
      <c r="B40">
        <v>60</v>
      </c>
      <c r="C40">
        <v>2071</v>
      </c>
      <c r="D40">
        <v>2953216</v>
      </c>
      <c r="E40" t="s">
        <v>69</v>
      </c>
    </row>
    <row r="41" spans="1:5" x14ac:dyDescent="0.3">
      <c r="A41" s="1" t="s">
        <v>30</v>
      </c>
      <c r="B41">
        <v>19</v>
      </c>
      <c r="C41">
        <v>744</v>
      </c>
      <c r="D41">
        <v>1835008</v>
      </c>
      <c r="E41" t="s">
        <v>45</v>
      </c>
    </row>
    <row r="42" spans="1:5" x14ac:dyDescent="0.3">
      <c r="A42" s="1" t="s">
        <v>31</v>
      </c>
      <c r="B42">
        <v>65</v>
      </c>
      <c r="C42">
        <v>2088</v>
      </c>
      <c r="D42">
        <v>2445312</v>
      </c>
      <c r="E42" t="s">
        <v>54</v>
      </c>
    </row>
    <row r="43" spans="1:5" x14ac:dyDescent="0.3">
      <c r="A43" s="1" t="s">
        <v>4</v>
      </c>
      <c r="B43">
        <f>AVERAGE(B38:B42)</f>
        <v>45.2</v>
      </c>
      <c r="C43">
        <f>AVERAGE(C38:C42)</f>
        <v>1683.4</v>
      </c>
      <c r="D43">
        <f>AVERAGE(D38:D42)</f>
        <v>2437939.2000000002</v>
      </c>
    </row>
    <row r="44" spans="1:5" x14ac:dyDescent="0.3">
      <c r="A44" s="1" t="s">
        <v>29</v>
      </c>
      <c r="B44">
        <f>_xlfn.STDEV.P(B38:B43)</f>
        <v>15.004443786203266</v>
      </c>
      <c r="C44">
        <f>_xlfn.STDEV.P(C38:C43)</f>
        <v>462.75609126190926</v>
      </c>
      <c r="D44">
        <f>_xlfn.STDEV.P(D38:D43)</f>
        <v>369922.6987675493</v>
      </c>
    </row>
    <row r="45" spans="1:5" x14ac:dyDescent="0.3">
      <c r="A45" s="1" t="s">
        <v>5</v>
      </c>
      <c r="B45">
        <v>67</v>
      </c>
      <c r="C45">
        <v>1613</v>
      </c>
      <c r="D45">
        <v>135168</v>
      </c>
      <c r="E45" t="s">
        <v>55</v>
      </c>
    </row>
    <row r="46" spans="1:5" x14ac:dyDescent="0.3">
      <c r="A46" s="1" t="s">
        <v>6</v>
      </c>
      <c r="B46">
        <v>66</v>
      </c>
      <c r="C46">
        <v>2179</v>
      </c>
      <c r="D46">
        <v>126976</v>
      </c>
      <c r="E46" t="s">
        <v>69</v>
      </c>
    </row>
    <row r="49" spans="1:5" x14ac:dyDescent="0.3">
      <c r="A49" s="1" t="s">
        <v>53</v>
      </c>
      <c r="B49" s="1" t="s">
        <v>7</v>
      </c>
      <c r="C49" s="1" t="s">
        <v>8</v>
      </c>
      <c r="D49" s="1" t="s">
        <v>9</v>
      </c>
      <c r="E49" s="1" t="s">
        <v>10</v>
      </c>
    </row>
    <row r="50" spans="1:5" x14ac:dyDescent="0.3">
      <c r="A50" s="1" t="s">
        <v>1</v>
      </c>
      <c r="B50">
        <v>113</v>
      </c>
      <c r="C50">
        <v>2143</v>
      </c>
      <c r="D50">
        <v>2277376</v>
      </c>
      <c r="E50" t="s">
        <v>52</v>
      </c>
    </row>
    <row r="51" spans="1:5" x14ac:dyDescent="0.3">
      <c r="A51" s="1" t="s">
        <v>2</v>
      </c>
      <c r="B51">
        <v>111</v>
      </c>
      <c r="C51">
        <v>2669</v>
      </c>
      <c r="D51">
        <v>2392064</v>
      </c>
      <c r="E51" t="s">
        <v>51</v>
      </c>
    </row>
    <row r="52" spans="1:5" x14ac:dyDescent="0.3">
      <c r="A52" s="1" t="s">
        <v>3</v>
      </c>
      <c r="B52">
        <v>125</v>
      </c>
      <c r="C52">
        <v>1971</v>
      </c>
      <c r="D52">
        <v>2502656</v>
      </c>
      <c r="E52" t="s">
        <v>52</v>
      </c>
    </row>
    <row r="53" spans="1:5" x14ac:dyDescent="0.3">
      <c r="A53" s="1" t="s">
        <v>30</v>
      </c>
      <c r="B53">
        <v>22</v>
      </c>
      <c r="C53">
        <v>442</v>
      </c>
      <c r="D53">
        <v>1916928</v>
      </c>
      <c r="E53" t="s">
        <v>45</v>
      </c>
    </row>
    <row r="54" spans="1:5" x14ac:dyDescent="0.3">
      <c r="A54" s="1" t="s">
        <v>31</v>
      </c>
      <c r="B54">
        <v>111</v>
      </c>
      <c r="C54">
        <v>1614</v>
      </c>
      <c r="D54">
        <v>2650112</v>
      </c>
      <c r="E54" t="s">
        <v>16</v>
      </c>
    </row>
    <row r="55" spans="1:5" x14ac:dyDescent="0.3">
      <c r="A55" s="1" t="s">
        <v>4</v>
      </c>
      <c r="B55">
        <f>AVERAGE(B50:B54)</f>
        <v>96.4</v>
      </c>
      <c r="C55">
        <f>AVERAGE(C50:C54)</f>
        <v>1767.8</v>
      </c>
      <c r="D55">
        <f>AVERAGE(D50:D54)</f>
        <v>2347827.2000000002</v>
      </c>
    </row>
    <row r="56" spans="1:5" x14ac:dyDescent="0.3">
      <c r="A56" s="1" t="s">
        <v>29</v>
      </c>
      <c r="B56">
        <f>_xlfn.STDEV.P(B50:B55)</f>
        <v>34.290912304379816</v>
      </c>
      <c r="C56">
        <f>_xlfn.STDEV.P(C50:C55)</f>
        <v>680.15032652103241</v>
      </c>
      <c r="D56">
        <f>_xlfn.STDEV.P(D50:D55)</f>
        <v>226547.43588514379</v>
      </c>
    </row>
    <row r="57" spans="1:5" x14ac:dyDescent="0.3">
      <c r="A57" s="1" t="s">
        <v>5</v>
      </c>
      <c r="B57">
        <v>121</v>
      </c>
      <c r="C57">
        <v>1586</v>
      </c>
      <c r="D57">
        <v>126976</v>
      </c>
      <c r="E57" t="s">
        <v>55</v>
      </c>
    </row>
    <row r="58" spans="1:5" x14ac:dyDescent="0.3">
      <c r="A58" s="1" t="s">
        <v>6</v>
      </c>
      <c r="B58">
        <v>139</v>
      </c>
      <c r="C58">
        <v>2440</v>
      </c>
      <c r="D58">
        <v>98304</v>
      </c>
      <c r="E58" t="s">
        <v>54</v>
      </c>
    </row>
    <row r="61" spans="1:5" x14ac:dyDescent="0.3">
      <c r="A61" s="1" t="s">
        <v>71</v>
      </c>
      <c r="B61" t="s">
        <v>76</v>
      </c>
      <c r="C61" t="s">
        <v>75</v>
      </c>
      <c r="D61" t="s">
        <v>77</v>
      </c>
    </row>
    <row r="62" spans="1:5" x14ac:dyDescent="0.3">
      <c r="A62">
        <v>5</v>
      </c>
      <c r="B62">
        <v>44.8</v>
      </c>
      <c r="C62">
        <v>84</v>
      </c>
      <c r="D62">
        <v>67</v>
      </c>
    </row>
    <row r="63" spans="1:5" x14ac:dyDescent="0.3">
      <c r="A63">
        <v>7</v>
      </c>
      <c r="B63">
        <v>69.8</v>
      </c>
      <c r="C63">
        <v>115</v>
      </c>
      <c r="D63">
        <v>74</v>
      </c>
    </row>
    <row r="64" spans="1:5" x14ac:dyDescent="0.3">
      <c r="A64">
        <v>9</v>
      </c>
      <c r="B64">
        <v>102.2</v>
      </c>
      <c r="C64">
        <v>127</v>
      </c>
      <c r="D64">
        <v>105</v>
      </c>
    </row>
    <row r="65" spans="1:4" x14ac:dyDescent="0.3">
      <c r="A65">
        <v>11</v>
      </c>
      <c r="B65">
        <v>45.2</v>
      </c>
      <c r="C65">
        <v>67</v>
      </c>
      <c r="D65">
        <v>66</v>
      </c>
    </row>
    <row r="66" spans="1:4" x14ac:dyDescent="0.3">
      <c r="A66">
        <v>13</v>
      </c>
      <c r="B66">
        <v>96.4</v>
      </c>
      <c r="C66">
        <v>121</v>
      </c>
      <c r="D66">
        <v>139</v>
      </c>
    </row>
    <row r="77" spans="1:4" x14ac:dyDescent="0.3">
      <c r="A77" s="1" t="s">
        <v>71</v>
      </c>
      <c r="B77" t="s">
        <v>76</v>
      </c>
      <c r="C77" t="s">
        <v>75</v>
      </c>
      <c r="D77" t="s">
        <v>77</v>
      </c>
    </row>
    <row r="78" spans="1:4" x14ac:dyDescent="0.3">
      <c r="A78">
        <v>5</v>
      </c>
      <c r="B78">
        <v>1158</v>
      </c>
      <c r="C78">
        <v>1159</v>
      </c>
      <c r="D78">
        <v>1284</v>
      </c>
    </row>
    <row r="79" spans="1:4" x14ac:dyDescent="0.3">
      <c r="A79">
        <v>7</v>
      </c>
      <c r="B79">
        <v>1409.8</v>
      </c>
      <c r="C79">
        <v>1399</v>
      </c>
      <c r="D79">
        <v>1342</v>
      </c>
    </row>
    <row r="80" spans="1:4" x14ac:dyDescent="0.3">
      <c r="A80">
        <v>9</v>
      </c>
      <c r="B80">
        <v>1878.8</v>
      </c>
      <c r="C80">
        <v>1550</v>
      </c>
      <c r="D80">
        <v>1768</v>
      </c>
    </row>
    <row r="81" spans="1:4" x14ac:dyDescent="0.3">
      <c r="A81">
        <v>11</v>
      </c>
      <c r="B81">
        <v>1683.4</v>
      </c>
      <c r="C81">
        <v>1613</v>
      </c>
      <c r="D81">
        <v>2179</v>
      </c>
    </row>
    <row r="82" spans="1:4" x14ac:dyDescent="0.3">
      <c r="A82">
        <v>13</v>
      </c>
      <c r="B82">
        <v>1767.8</v>
      </c>
      <c r="C82">
        <v>1586</v>
      </c>
      <c r="D82">
        <v>2440</v>
      </c>
    </row>
    <row r="95" spans="1:4" x14ac:dyDescent="0.3">
      <c r="A95" s="1" t="s">
        <v>71</v>
      </c>
      <c r="B95" t="s">
        <v>76</v>
      </c>
      <c r="C95" t="s">
        <v>75</v>
      </c>
      <c r="D95" t="s">
        <v>77</v>
      </c>
    </row>
    <row r="96" spans="1:4" x14ac:dyDescent="0.3">
      <c r="A96">
        <v>5</v>
      </c>
      <c r="B96">
        <v>1873510.3999999999</v>
      </c>
      <c r="C96">
        <v>122880</v>
      </c>
      <c r="D96">
        <v>131072</v>
      </c>
    </row>
    <row r="97" spans="1:4" x14ac:dyDescent="0.3">
      <c r="A97">
        <v>7</v>
      </c>
      <c r="B97">
        <v>2467430.3999999999</v>
      </c>
      <c r="C97">
        <v>126976</v>
      </c>
      <c r="D97">
        <v>147456</v>
      </c>
    </row>
    <row r="98" spans="1:4" x14ac:dyDescent="0.3">
      <c r="A98">
        <v>9</v>
      </c>
      <c r="B98">
        <v>2593587.2000000002</v>
      </c>
      <c r="C98">
        <v>131072</v>
      </c>
      <c r="D98">
        <v>126976</v>
      </c>
    </row>
    <row r="99" spans="1:4" x14ac:dyDescent="0.3">
      <c r="A99">
        <v>11</v>
      </c>
      <c r="B99">
        <v>2437939.2000000002</v>
      </c>
      <c r="C99">
        <v>135168</v>
      </c>
      <c r="D99">
        <v>126976</v>
      </c>
    </row>
    <row r="100" spans="1:4" x14ac:dyDescent="0.3">
      <c r="A100">
        <v>13</v>
      </c>
      <c r="B100">
        <v>2347827.2000000002</v>
      </c>
      <c r="C100">
        <v>126976</v>
      </c>
      <c r="D100">
        <v>98304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55DB-8BC4-4603-B0B0-C3E91B5CCE80}">
  <dimension ref="A1:F95"/>
  <sheetViews>
    <sheetView topLeftCell="A73" workbookViewId="0">
      <selection activeCell="A90" sqref="A90:D95"/>
    </sheetView>
  </sheetViews>
  <sheetFormatPr defaultRowHeight="14.4" x14ac:dyDescent="0.3"/>
  <cols>
    <col min="1" max="1" width="31.33203125" customWidth="1"/>
    <col min="2" max="2" width="11.77734375" customWidth="1"/>
    <col min="3" max="3" width="20.88671875" customWidth="1"/>
    <col min="4" max="4" width="17.77734375" customWidth="1"/>
    <col min="5" max="5" width="33.6640625" customWidth="1"/>
  </cols>
  <sheetData>
    <row r="1" spans="1:6" x14ac:dyDescent="0.3">
      <c r="A1" s="1" t="s">
        <v>32</v>
      </c>
      <c r="B1" s="1" t="s">
        <v>7</v>
      </c>
      <c r="C1" s="1" t="s">
        <v>8</v>
      </c>
      <c r="D1" s="1" t="s">
        <v>9</v>
      </c>
      <c r="E1" s="1" t="s">
        <v>10</v>
      </c>
      <c r="F1" s="1"/>
    </row>
    <row r="2" spans="1:6" x14ac:dyDescent="0.3">
      <c r="A2" s="1" t="s">
        <v>1</v>
      </c>
      <c r="B2">
        <v>28</v>
      </c>
      <c r="C2">
        <v>1248</v>
      </c>
      <c r="D2">
        <v>2121728</v>
      </c>
      <c r="E2" t="s">
        <v>11</v>
      </c>
      <c r="F2" s="1"/>
    </row>
    <row r="3" spans="1:6" x14ac:dyDescent="0.3">
      <c r="A3" s="1" t="s">
        <v>2</v>
      </c>
      <c r="B3">
        <v>37</v>
      </c>
      <c r="C3">
        <v>1192</v>
      </c>
      <c r="D3">
        <v>2736128</v>
      </c>
      <c r="E3" t="s">
        <v>70</v>
      </c>
      <c r="F3" s="1"/>
    </row>
    <row r="4" spans="1:6" x14ac:dyDescent="0.3">
      <c r="A4" s="1" t="s">
        <v>3</v>
      </c>
      <c r="B4">
        <v>35</v>
      </c>
      <c r="C4">
        <v>1443</v>
      </c>
      <c r="D4">
        <v>2043904</v>
      </c>
      <c r="E4" t="s">
        <v>11</v>
      </c>
      <c r="F4" s="1"/>
    </row>
    <row r="5" spans="1:6" x14ac:dyDescent="0.3">
      <c r="A5" s="1" t="s">
        <v>30</v>
      </c>
      <c r="B5">
        <v>33</v>
      </c>
      <c r="C5">
        <v>1252</v>
      </c>
      <c r="D5">
        <v>2510848</v>
      </c>
      <c r="E5" t="s">
        <v>11</v>
      </c>
      <c r="F5" s="1"/>
    </row>
    <row r="6" spans="1:6" x14ac:dyDescent="0.3">
      <c r="A6" s="1" t="s">
        <v>31</v>
      </c>
      <c r="B6">
        <v>37</v>
      </c>
      <c r="C6">
        <v>1273</v>
      </c>
      <c r="D6">
        <v>2486272</v>
      </c>
      <c r="E6" t="s">
        <v>11</v>
      </c>
      <c r="F6" s="1"/>
    </row>
    <row r="7" spans="1:6" x14ac:dyDescent="0.3">
      <c r="A7" s="1" t="s">
        <v>4</v>
      </c>
      <c r="B7">
        <f>AVERAGE(B2:B6)</f>
        <v>34</v>
      </c>
      <c r="C7">
        <f>AVERAGE(C2:C6)</f>
        <v>1281.5999999999999</v>
      </c>
      <c r="D7">
        <f>AVERAGE(D2:D6)</f>
        <v>2379776</v>
      </c>
      <c r="F7" s="1"/>
    </row>
    <row r="8" spans="1:6" x14ac:dyDescent="0.3">
      <c r="A8" s="1" t="s">
        <v>29</v>
      </c>
      <c r="B8">
        <f>_xlfn.STDEV.P(B2:B6)</f>
        <v>3.3466401061363023</v>
      </c>
      <c r="C8">
        <f>_xlfn.STDEV.P(C2:C6)</f>
        <v>85.037873915097379</v>
      </c>
      <c r="D8">
        <f>_xlfn.STDEV.P(D2:D6)</f>
        <v>258807.56781516262</v>
      </c>
      <c r="F8" s="1"/>
    </row>
    <row r="9" spans="1:6" x14ac:dyDescent="0.3">
      <c r="A9" s="1" t="s">
        <v>5</v>
      </c>
      <c r="B9">
        <v>72</v>
      </c>
      <c r="C9">
        <v>1328</v>
      </c>
      <c r="D9">
        <v>135168</v>
      </c>
      <c r="E9" t="s">
        <v>11</v>
      </c>
      <c r="F9" s="1"/>
    </row>
    <row r="10" spans="1:6" x14ac:dyDescent="0.3">
      <c r="A10" s="1" t="s">
        <v>6</v>
      </c>
      <c r="B10">
        <v>43</v>
      </c>
      <c r="C10">
        <v>1222</v>
      </c>
      <c r="D10">
        <v>1949696</v>
      </c>
      <c r="E10" t="s">
        <v>26</v>
      </c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 t="s">
        <v>34</v>
      </c>
      <c r="B12" s="1" t="s">
        <v>7</v>
      </c>
      <c r="C12" s="1" t="s">
        <v>8</v>
      </c>
      <c r="D12" s="1" t="s">
        <v>9</v>
      </c>
      <c r="E12" s="1" t="s">
        <v>10</v>
      </c>
      <c r="F12" s="1"/>
    </row>
    <row r="13" spans="1:6" x14ac:dyDescent="0.3">
      <c r="A13" s="1" t="s">
        <v>1</v>
      </c>
      <c r="B13">
        <v>83</v>
      </c>
      <c r="C13">
        <v>1903</v>
      </c>
      <c r="D13">
        <v>2072576</v>
      </c>
      <c r="E13" t="s">
        <v>27</v>
      </c>
      <c r="F13" s="1"/>
    </row>
    <row r="14" spans="1:6" x14ac:dyDescent="0.3">
      <c r="A14" s="1" t="s">
        <v>2</v>
      </c>
      <c r="B14">
        <v>31</v>
      </c>
      <c r="C14">
        <v>468</v>
      </c>
      <c r="D14">
        <v>2236416</v>
      </c>
      <c r="E14" t="s">
        <v>13</v>
      </c>
      <c r="F14" s="1"/>
    </row>
    <row r="15" spans="1:6" x14ac:dyDescent="0.3">
      <c r="A15" s="1" t="s">
        <v>3</v>
      </c>
      <c r="B15">
        <v>25</v>
      </c>
      <c r="C15">
        <v>498</v>
      </c>
      <c r="D15">
        <v>2605056</v>
      </c>
      <c r="E15" t="s">
        <v>13</v>
      </c>
      <c r="F15" s="1"/>
    </row>
    <row r="16" spans="1:6" x14ac:dyDescent="0.3">
      <c r="A16" s="1" t="s">
        <v>30</v>
      </c>
      <c r="B16">
        <v>83</v>
      </c>
      <c r="C16">
        <v>1849</v>
      </c>
      <c r="D16">
        <v>2736128</v>
      </c>
      <c r="E16" t="s">
        <v>27</v>
      </c>
      <c r="F16" s="1"/>
    </row>
    <row r="17" spans="1:6" x14ac:dyDescent="0.3">
      <c r="A17" s="1" t="s">
        <v>31</v>
      </c>
      <c r="B17">
        <v>94</v>
      </c>
      <c r="C17">
        <v>1801</v>
      </c>
      <c r="D17">
        <v>2740224</v>
      </c>
      <c r="E17" t="s">
        <v>35</v>
      </c>
      <c r="F17" s="1"/>
    </row>
    <row r="18" spans="1:6" x14ac:dyDescent="0.3">
      <c r="A18" s="1" t="s">
        <v>4</v>
      </c>
      <c r="B18">
        <f>AVERAGE(B13:B17)</f>
        <v>63.2</v>
      </c>
      <c r="C18">
        <f>AVERAGE(C13:C17)</f>
        <v>1303.8</v>
      </c>
      <c r="D18">
        <f>AVERAGE(D13:D17)</f>
        <v>2478080</v>
      </c>
      <c r="F18" s="1"/>
    </row>
    <row r="19" spans="1:6" x14ac:dyDescent="0.3">
      <c r="A19" s="1" t="s">
        <v>29</v>
      </c>
      <c r="B19">
        <f>_xlfn.STDEV.P(B13:B17)</f>
        <v>29.081953166869656</v>
      </c>
      <c r="C19">
        <f>_xlfn.STDEV.P(C13:C17)</f>
        <v>671.02411283053004</v>
      </c>
      <c r="D19">
        <f>_xlfn.STDEV.P(D13:D17)</f>
        <v>273593.17773950432</v>
      </c>
      <c r="F19" s="1"/>
    </row>
    <row r="20" spans="1:6" x14ac:dyDescent="0.3">
      <c r="A20" s="1" t="s">
        <v>5</v>
      </c>
      <c r="B20">
        <v>179</v>
      </c>
      <c r="C20">
        <v>3373</v>
      </c>
      <c r="D20">
        <v>98304</v>
      </c>
      <c r="E20" t="s">
        <v>13</v>
      </c>
      <c r="F20" s="1"/>
    </row>
    <row r="21" spans="1:6" x14ac:dyDescent="0.3">
      <c r="A21" s="1" t="s">
        <v>6</v>
      </c>
      <c r="B21">
        <v>66</v>
      </c>
      <c r="C21">
        <v>1637</v>
      </c>
      <c r="D21">
        <v>126976</v>
      </c>
      <c r="E21" t="s">
        <v>36</v>
      </c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 t="s">
        <v>37</v>
      </c>
      <c r="B23" s="1" t="s">
        <v>7</v>
      </c>
      <c r="C23" s="1" t="s">
        <v>8</v>
      </c>
      <c r="D23" s="1" t="s">
        <v>9</v>
      </c>
      <c r="E23" s="1" t="s">
        <v>10</v>
      </c>
      <c r="F23" s="1"/>
    </row>
    <row r="24" spans="1:6" x14ac:dyDescent="0.3">
      <c r="A24" s="1" t="s">
        <v>1</v>
      </c>
      <c r="B24">
        <v>26</v>
      </c>
      <c r="C24">
        <v>1403</v>
      </c>
      <c r="D24">
        <v>1798144</v>
      </c>
      <c r="E24" t="s">
        <v>11</v>
      </c>
      <c r="F24" s="1"/>
    </row>
    <row r="25" spans="1:6" x14ac:dyDescent="0.3">
      <c r="A25" s="1" t="s">
        <v>2</v>
      </c>
      <c r="B25">
        <v>20</v>
      </c>
      <c r="C25">
        <v>1016</v>
      </c>
      <c r="D25">
        <v>1949696</v>
      </c>
      <c r="E25" t="s">
        <v>54</v>
      </c>
      <c r="F25" s="1"/>
    </row>
    <row r="26" spans="1:6" x14ac:dyDescent="0.3">
      <c r="A26" s="1" t="s">
        <v>3</v>
      </c>
      <c r="B26">
        <v>23</v>
      </c>
      <c r="C26">
        <v>1005</v>
      </c>
      <c r="D26">
        <v>2260992</v>
      </c>
      <c r="E26" t="s">
        <v>63</v>
      </c>
      <c r="F26" s="1"/>
    </row>
    <row r="27" spans="1:6" x14ac:dyDescent="0.3">
      <c r="A27" s="1" t="s">
        <v>30</v>
      </c>
      <c r="B27">
        <v>22</v>
      </c>
      <c r="C27">
        <v>997</v>
      </c>
      <c r="D27">
        <v>2334720</v>
      </c>
      <c r="E27" t="s">
        <v>63</v>
      </c>
      <c r="F27" s="1"/>
    </row>
    <row r="28" spans="1:6" x14ac:dyDescent="0.3">
      <c r="A28" s="1" t="s">
        <v>31</v>
      </c>
      <c r="B28">
        <v>50</v>
      </c>
      <c r="C28">
        <v>2306</v>
      </c>
      <c r="D28">
        <v>2338816</v>
      </c>
      <c r="E28" t="s">
        <v>70</v>
      </c>
      <c r="F28" s="1"/>
    </row>
    <row r="29" spans="1:6" x14ac:dyDescent="0.3">
      <c r="A29" s="1" t="s">
        <v>4</v>
      </c>
      <c r="B29">
        <f>AVERAGE(B24:B28)</f>
        <v>28.2</v>
      </c>
      <c r="C29">
        <f>AVERAGE(C24:C28)</f>
        <v>1345.4</v>
      </c>
      <c r="D29">
        <f>AVERAGE(D24:D28)</f>
        <v>2136473.6000000001</v>
      </c>
      <c r="F29" s="1"/>
    </row>
    <row r="30" spans="1:6" x14ac:dyDescent="0.3">
      <c r="A30" s="1" t="s">
        <v>29</v>
      </c>
      <c r="B30">
        <f>_xlfn.STDEV.P(B24:B28)</f>
        <v>11.070682002478438</v>
      </c>
      <c r="C30">
        <f>_xlfn.STDEV.P(C24:C28)</f>
        <v>504.34694407718979</v>
      </c>
      <c r="D30">
        <f>_xlfn.STDEV.P(D24:D28)</f>
        <v>221405.37662270083</v>
      </c>
      <c r="F30" s="1"/>
    </row>
    <row r="31" spans="1:6" x14ac:dyDescent="0.3">
      <c r="A31" s="1" t="s">
        <v>5</v>
      </c>
      <c r="B31">
        <v>40</v>
      </c>
      <c r="C31">
        <v>978</v>
      </c>
      <c r="D31">
        <v>135168</v>
      </c>
      <c r="E31" t="s">
        <v>63</v>
      </c>
      <c r="F31" s="1"/>
    </row>
    <row r="32" spans="1:6" x14ac:dyDescent="0.3">
      <c r="A32" s="1" t="s">
        <v>6</v>
      </c>
      <c r="B32">
        <v>25</v>
      </c>
      <c r="C32">
        <v>888</v>
      </c>
      <c r="D32">
        <v>94208</v>
      </c>
      <c r="E32" t="s">
        <v>63</v>
      </c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 t="s">
        <v>40</v>
      </c>
      <c r="B35" s="1" t="s">
        <v>7</v>
      </c>
      <c r="C35" s="1" t="s">
        <v>8</v>
      </c>
      <c r="D35" s="1" t="s">
        <v>9</v>
      </c>
      <c r="E35" s="1" t="s">
        <v>10</v>
      </c>
      <c r="F35" s="1"/>
    </row>
    <row r="36" spans="1:6" x14ac:dyDescent="0.3">
      <c r="A36" s="1" t="s">
        <v>1</v>
      </c>
      <c r="B36">
        <v>51</v>
      </c>
      <c r="C36">
        <v>1391</v>
      </c>
      <c r="D36">
        <v>2768896</v>
      </c>
      <c r="E36" t="s">
        <v>33</v>
      </c>
      <c r="F36" s="1"/>
    </row>
    <row r="37" spans="1:6" x14ac:dyDescent="0.3">
      <c r="A37" s="1" t="s">
        <v>2</v>
      </c>
      <c r="B37">
        <v>74</v>
      </c>
      <c r="C37">
        <v>1320</v>
      </c>
      <c r="D37">
        <v>2273280</v>
      </c>
      <c r="E37" t="s">
        <v>12</v>
      </c>
      <c r="F37" s="1"/>
    </row>
    <row r="38" spans="1:6" x14ac:dyDescent="0.3">
      <c r="A38" s="1" t="s">
        <v>3</v>
      </c>
      <c r="B38">
        <v>50</v>
      </c>
      <c r="C38">
        <v>1402</v>
      </c>
      <c r="D38">
        <v>2617344</v>
      </c>
      <c r="E38" t="s">
        <v>39</v>
      </c>
      <c r="F38" s="1"/>
    </row>
    <row r="39" spans="1:6" x14ac:dyDescent="0.3">
      <c r="A39" s="1" t="s">
        <v>30</v>
      </c>
      <c r="B39">
        <v>87</v>
      </c>
      <c r="C39">
        <v>1390</v>
      </c>
      <c r="D39">
        <v>2347008</v>
      </c>
      <c r="E39" t="s">
        <v>39</v>
      </c>
      <c r="F39" s="1"/>
    </row>
    <row r="40" spans="1:6" x14ac:dyDescent="0.3">
      <c r="A40" s="1" t="s">
        <v>31</v>
      </c>
      <c r="B40">
        <v>67</v>
      </c>
      <c r="C40">
        <v>1375</v>
      </c>
      <c r="D40">
        <v>2011136</v>
      </c>
      <c r="E40" t="s">
        <v>39</v>
      </c>
      <c r="F40" s="1"/>
    </row>
    <row r="41" spans="1:6" x14ac:dyDescent="0.3">
      <c r="A41" s="1" t="s">
        <v>4</v>
      </c>
      <c r="B41">
        <f>AVERAGE(B36:B40)</f>
        <v>65.8</v>
      </c>
      <c r="C41">
        <f>AVERAGE(C36:C40)</f>
        <v>1375.6</v>
      </c>
      <c r="D41">
        <f>AVERAGE(D36:D40)</f>
        <v>2403532.7999999998</v>
      </c>
      <c r="F41" s="1"/>
    </row>
    <row r="42" spans="1:6" x14ac:dyDescent="0.3">
      <c r="A42" s="1" t="s">
        <v>29</v>
      </c>
      <c r="B42">
        <f>_xlfn.STDEV.P(B36:B40)</f>
        <v>14.048487463068756</v>
      </c>
      <c r="C42">
        <f>_xlfn.STDEV.P(C36:C40)</f>
        <v>29.097078891187682</v>
      </c>
      <c r="D42">
        <f>_xlfn.STDEV.P(D36:D40)</f>
        <v>265835.13339391391</v>
      </c>
      <c r="F42" s="1"/>
    </row>
    <row r="43" spans="1:6" x14ac:dyDescent="0.3">
      <c r="A43" s="1" t="s">
        <v>5</v>
      </c>
      <c r="B43">
        <v>100</v>
      </c>
      <c r="C43">
        <v>1295</v>
      </c>
      <c r="D43">
        <v>131072</v>
      </c>
      <c r="E43" t="s">
        <v>38</v>
      </c>
      <c r="F43" s="1"/>
    </row>
    <row r="44" spans="1:6" x14ac:dyDescent="0.3">
      <c r="A44" s="1" t="s">
        <v>6</v>
      </c>
      <c r="B44">
        <v>111</v>
      </c>
      <c r="C44">
        <v>1839</v>
      </c>
      <c r="D44">
        <v>126976</v>
      </c>
      <c r="E44" t="s">
        <v>38</v>
      </c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 t="s">
        <v>41</v>
      </c>
      <c r="B46" s="1" t="s">
        <v>7</v>
      </c>
      <c r="C46" s="1" t="s">
        <v>8</v>
      </c>
      <c r="D46" s="1" t="s">
        <v>9</v>
      </c>
      <c r="E46" s="1" t="s">
        <v>10</v>
      </c>
      <c r="F46" s="1"/>
    </row>
    <row r="47" spans="1:6" x14ac:dyDescent="0.3">
      <c r="A47" s="1" t="s">
        <v>1</v>
      </c>
      <c r="B47">
        <v>87</v>
      </c>
      <c r="C47">
        <v>2057</v>
      </c>
      <c r="D47">
        <v>2576384</v>
      </c>
      <c r="E47" t="s">
        <v>20</v>
      </c>
      <c r="F47" s="1"/>
    </row>
    <row r="48" spans="1:6" x14ac:dyDescent="0.3">
      <c r="A48" s="1" t="s">
        <v>2</v>
      </c>
      <c r="B48">
        <v>57</v>
      </c>
      <c r="C48">
        <v>1482</v>
      </c>
      <c r="D48">
        <v>2097152</v>
      </c>
      <c r="E48" t="s">
        <v>39</v>
      </c>
      <c r="F48" s="1"/>
    </row>
    <row r="49" spans="1:6" x14ac:dyDescent="0.3">
      <c r="A49" s="1" t="s">
        <v>3</v>
      </c>
      <c r="B49">
        <v>55</v>
      </c>
      <c r="C49">
        <v>1466</v>
      </c>
      <c r="D49">
        <v>2318336</v>
      </c>
      <c r="E49" t="s">
        <v>39</v>
      </c>
      <c r="F49" s="1"/>
    </row>
    <row r="50" spans="1:6" x14ac:dyDescent="0.3">
      <c r="A50" s="1" t="s">
        <v>30</v>
      </c>
      <c r="B50">
        <v>64</v>
      </c>
      <c r="C50">
        <v>1566</v>
      </c>
      <c r="D50">
        <v>2691072</v>
      </c>
      <c r="E50" t="s">
        <v>39</v>
      </c>
      <c r="F50" s="1"/>
    </row>
    <row r="51" spans="1:6" x14ac:dyDescent="0.3">
      <c r="A51" s="1" t="s">
        <v>31</v>
      </c>
      <c r="B51">
        <v>53</v>
      </c>
      <c r="C51">
        <v>1453</v>
      </c>
      <c r="D51">
        <v>2187264</v>
      </c>
      <c r="E51" t="s">
        <v>33</v>
      </c>
      <c r="F51" s="1"/>
    </row>
    <row r="52" spans="1:6" x14ac:dyDescent="0.3">
      <c r="A52" s="1" t="s">
        <v>4</v>
      </c>
      <c r="B52">
        <f>AVERAGE(B47:B51)</f>
        <v>63.2</v>
      </c>
      <c r="C52">
        <f>AVERAGE(C47:C51)</f>
        <v>1604.8</v>
      </c>
      <c r="D52">
        <f>AVERAGE(D47:D51)</f>
        <v>2374041.6000000001</v>
      </c>
      <c r="F52" s="1"/>
    </row>
    <row r="53" spans="1:6" x14ac:dyDescent="0.3">
      <c r="A53" s="1" t="s">
        <v>29</v>
      </c>
      <c r="B53">
        <f>_xlfn.STDEV.P(B47:B51)</f>
        <v>12.464349160706307</v>
      </c>
      <c r="C53">
        <f>_xlfn.STDEV.P(C47:C51)</f>
        <v>229.51200404336154</v>
      </c>
      <c r="D53">
        <f>_xlfn.STDEV.P(D47:D51)</f>
        <v>226321.69921737508</v>
      </c>
      <c r="F53" s="1"/>
    </row>
    <row r="54" spans="1:6" x14ac:dyDescent="0.3">
      <c r="A54" s="1" t="s">
        <v>5</v>
      </c>
      <c r="B54">
        <v>77</v>
      </c>
      <c r="C54">
        <v>1313</v>
      </c>
      <c r="D54">
        <v>126976</v>
      </c>
      <c r="E54" t="s">
        <v>12</v>
      </c>
      <c r="F54" s="1"/>
    </row>
    <row r="55" spans="1:6" x14ac:dyDescent="0.3">
      <c r="A55" s="1" t="s">
        <v>6</v>
      </c>
      <c r="B55">
        <v>83</v>
      </c>
      <c r="C55">
        <v>1994</v>
      </c>
      <c r="D55">
        <v>126976</v>
      </c>
      <c r="E55" t="s">
        <v>12</v>
      </c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 t="s">
        <v>71</v>
      </c>
      <c r="B58" t="s">
        <v>76</v>
      </c>
      <c r="C58" t="s">
        <v>75</v>
      </c>
      <c r="D58" t="s">
        <v>77</v>
      </c>
    </row>
    <row r="59" spans="1:6" x14ac:dyDescent="0.3">
      <c r="A59">
        <v>5</v>
      </c>
      <c r="B59">
        <v>34</v>
      </c>
      <c r="C59">
        <v>72</v>
      </c>
      <c r="D59">
        <v>43</v>
      </c>
    </row>
    <row r="60" spans="1:6" x14ac:dyDescent="0.3">
      <c r="A60">
        <v>7</v>
      </c>
      <c r="B60">
        <v>63.2</v>
      </c>
      <c r="C60">
        <v>179</v>
      </c>
      <c r="D60">
        <v>66</v>
      </c>
    </row>
    <row r="61" spans="1:6" x14ac:dyDescent="0.3">
      <c r="A61">
        <v>9</v>
      </c>
      <c r="B61">
        <v>28.2</v>
      </c>
      <c r="C61">
        <v>40</v>
      </c>
      <c r="D61">
        <v>25</v>
      </c>
    </row>
    <row r="62" spans="1:6" x14ac:dyDescent="0.3">
      <c r="A62">
        <v>11</v>
      </c>
      <c r="B62">
        <v>65.8</v>
      </c>
      <c r="C62">
        <v>100</v>
      </c>
      <c r="D62">
        <v>111</v>
      </c>
    </row>
    <row r="63" spans="1:6" x14ac:dyDescent="0.3">
      <c r="A63">
        <v>13</v>
      </c>
      <c r="B63">
        <v>63.2</v>
      </c>
      <c r="C63">
        <v>77</v>
      </c>
      <c r="D63">
        <v>83</v>
      </c>
    </row>
    <row r="74" spans="1:4" x14ac:dyDescent="0.3">
      <c r="A74" s="1" t="s">
        <v>71</v>
      </c>
      <c r="B74" t="s">
        <v>76</v>
      </c>
      <c r="C74" t="s">
        <v>75</v>
      </c>
      <c r="D74" t="s">
        <v>77</v>
      </c>
    </row>
    <row r="75" spans="1:4" x14ac:dyDescent="0.3">
      <c r="A75">
        <v>5</v>
      </c>
      <c r="B75">
        <v>1281.5999999999999</v>
      </c>
      <c r="C75">
        <v>1328</v>
      </c>
      <c r="D75">
        <v>1222</v>
      </c>
    </row>
    <row r="76" spans="1:4" x14ac:dyDescent="0.3">
      <c r="A76">
        <v>7</v>
      </c>
      <c r="B76">
        <v>1303.8</v>
      </c>
      <c r="C76">
        <v>3373</v>
      </c>
      <c r="D76">
        <v>1637</v>
      </c>
    </row>
    <row r="77" spans="1:4" x14ac:dyDescent="0.3">
      <c r="A77">
        <v>9</v>
      </c>
      <c r="B77">
        <v>1345.4</v>
      </c>
      <c r="C77">
        <v>978</v>
      </c>
      <c r="D77">
        <v>888</v>
      </c>
    </row>
    <row r="78" spans="1:4" x14ac:dyDescent="0.3">
      <c r="A78">
        <v>11</v>
      </c>
      <c r="B78">
        <v>1375.6</v>
      </c>
      <c r="C78">
        <v>1295</v>
      </c>
      <c r="D78">
        <v>1839</v>
      </c>
    </row>
    <row r="79" spans="1:4" x14ac:dyDescent="0.3">
      <c r="A79">
        <v>13</v>
      </c>
      <c r="B79">
        <v>1604.8</v>
      </c>
      <c r="C79">
        <v>1313</v>
      </c>
      <c r="D79">
        <v>1994</v>
      </c>
    </row>
    <row r="90" spans="1:4" x14ac:dyDescent="0.3">
      <c r="A90" s="1" t="s">
        <v>71</v>
      </c>
      <c r="B90" t="s">
        <v>76</v>
      </c>
      <c r="C90" t="s">
        <v>75</v>
      </c>
      <c r="D90" t="s">
        <v>77</v>
      </c>
    </row>
    <row r="91" spans="1:4" x14ac:dyDescent="0.3">
      <c r="A91">
        <v>5</v>
      </c>
      <c r="B91">
        <v>2379776</v>
      </c>
      <c r="C91">
        <v>135168</v>
      </c>
      <c r="D91">
        <v>194969</v>
      </c>
    </row>
    <row r="92" spans="1:4" x14ac:dyDescent="0.3">
      <c r="A92">
        <v>7</v>
      </c>
      <c r="B92">
        <v>2478080</v>
      </c>
      <c r="C92">
        <v>98304</v>
      </c>
      <c r="D92">
        <v>126976</v>
      </c>
    </row>
    <row r="93" spans="1:4" x14ac:dyDescent="0.3">
      <c r="A93">
        <v>9</v>
      </c>
      <c r="B93">
        <v>2136473.6000000001</v>
      </c>
      <c r="C93">
        <v>135168</v>
      </c>
      <c r="D93">
        <v>94208</v>
      </c>
    </row>
    <row r="94" spans="1:4" x14ac:dyDescent="0.3">
      <c r="A94">
        <v>11</v>
      </c>
      <c r="B94">
        <v>2403532.7999999998</v>
      </c>
      <c r="C94">
        <v>131072</v>
      </c>
      <c r="D94">
        <v>126976</v>
      </c>
    </row>
    <row r="95" spans="1:4" x14ac:dyDescent="0.3">
      <c r="A95">
        <v>13</v>
      </c>
      <c r="B95">
        <v>2374041.6000000001</v>
      </c>
      <c r="C95">
        <v>126976</v>
      </c>
      <c r="D95">
        <v>126976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9CD4-AE96-4E72-AA1C-11B3E78D7952}">
  <dimension ref="A1:E99"/>
  <sheetViews>
    <sheetView topLeftCell="A87" zoomScaleNormal="100" workbookViewId="0">
      <selection activeCell="C111" sqref="C111"/>
    </sheetView>
  </sheetViews>
  <sheetFormatPr defaultRowHeight="14.4" x14ac:dyDescent="0.3"/>
  <cols>
    <col min="1" max="1" width="26.44140625" customWidth="1"/>
    <col min="2" max="2" width="24.88671875" customWidth="1"/>
    <col min="3" max="3" width="22.21875" customWidth="1"/>
    <col min="4" max="4" width="27.6640625" customWidth="1"/>
    <col min="5" max="5" width="35.6640625" customWidth="1"/>
  </cols>
  <sheetData>
    <row r="1" spans="1:5" x14ac:dyDescent="0.3">
      <c r="A1" s="1" t="s">
        <v>56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1" t="s">
        <v>1</v>
      </c>
      <c r="B2">
        <v>47</v>
      </c>
      <c r="C2">
        <v>1488</v>
      </c>
      <c r="D2">
        <v>2519040</v>
      </c>
      <c r="E2" t="s">
        <v>57</v>
      </c>
    </row>
    <row r="3" spans="1:5" x14ac:dyDescent="0.3">
      <c r="A3" s="1" t="s">
        <v>2</v>
      </c>
      <c r="B3">
        <v>19</v>
      </c>
      <c r="C3">
        <v>731</v>
      </c>
      <c r="D3">
        <v>2215936</v>
      </c>
      <c r="E3" t="s">
        <v>45</v>
      </c>
    </row>
    <row r="4" spans="1:5" x14ac:dyDescent="0.3">
      <c r="A4" s="1" t="s">
        <v>3</v>
      </c>
      <c r="B4">
        <v>12</v>
      </c>
      <c r="C4">
        <v>491</v>
      </c>
      <c r="D4">
        <v>1613824</v>
      </c>
      <c r="E4" t="s">
        <v>45</v>
      </c>
    </row>
    <row r="5" spans="1:5" x14ac:dyDescent="0.3">
      <c r="A5" s="1" t="s">
        <v>30</v>
      </c>
      <c r="B5">
        <v>11</v>
      </c>
      <c r="C5">
        <v>435</v>
      </c>
      <c r="D5">
        <v>1445888</v>
      </c>
      <c r="E5" t="s">
        <v>45</v>
      </c>
    </row>
    <row r="6" spans="1:5" x14ac:dyDescent="0.3">
      <c r="A6" s="1" t="s">
        <v>31</v>
      </c>
      <c r="B6">
        <v>18</v>
      </c>
      <c r="C6">
        <v>408</v>
      </c>
      <c r="D6">
        <v>2310144</v>
      </c>
      <c r="E6" t="s">
        <v>45</v>
      </c>
    </row>
    <row r="7" spans="1:5" x14ac:dyDescent="0.3">
      <c r="A7" s="1" t="s">
        <v>4</v>
      </c>
      <c r="B7">
        <f>AVERAGE(B2:B6)</f>
        <v>21.4</v>
      </c>
      <c r="C7">
        <f>AVERAGE(C2:C6)</f>
        <v>710.6</v>
      </c>
      <c r="D7">
        <f>AVERAGE(D2:D6)</f>
        <v>2020966.3999999999</v>
      </c>
    </row>
    <row r="8" spans="1:5" x14ac:dyDescent="0.3">
      <c r="A8" s="1" t="s">
        <v>29</v>
      </c>
      <c r="B8">
        <f>_xlfn.STDEV.P(B2:B6)</f>
        <v>13.184839779079608</v>
      </c>
      <c r="C8">
        <f>_xlfn.STDEV.P(C2:C6)</f>
        <v>405.09584051184731</v>
      </c>
      <c r="D8">
        <f>_xlfn.STDEV.P(D2:D6)</f>
        <v>416219.71128412458</v>
      </c>
    </row>
    <row r="9" spans="1:5" x14ac:dyDescent="0.3">
      <c r="A9" s="1" t="s">
        <v>5</v>
      </c>
      <c r="B9">
        <v>50</v>
      </c>
      <c r="C9">
        <v>1027</v>
      </c>
      <c r="D9">
        <v>131072</v>
      </c>
      <c r="E9" t="s">
        <v>16</v>
      </c>
    </row>
    <row r="10" spans="1:5" x14ac:dyDescent="0.3">
      <c r="A10" s="1" t="s">
        <v>6</v>
      </c>
      <c r="B10">
        <v>29</v>
      </c>
      <c r="C10">
        <v>926</v>
      </c>
      <c r="D10">
        <v>16384</v>
      </c>
      <c r="E10" t="s">
        <v>58</v>
      </c>
    </row>
    <row r="13" spans="1:5" x14ac:dyDescent="0.3">
      <c r="A13" s="1" t="s">
        <v>59</v>
      </c>
      <c r="B13" s="1" t="s">
        <v>7</v>
      </c>
      <c r="C13" s="1" t="s">
        <v>8</v>
      </c>
      <c r="D13" s="1" t="s">
        <v>9</v>
      </c>
      <c r="E13" s="1" t="s">
        <v>10</v>
      </c>
    </row>
    <row r="14" spans="1:5" x14ac:dyDescent="0.3">
      <c r="A14" s="1" t="s">
        <v>1</v>
      </c>
      <c r="B14">
        <v>37</v>
      </c>
      <c r="C14">
        <v>1652</v>
      </c>
      <c r="D14">
        <v>2158592</v>
      </c>
      <c r="E14" t="s">
        <v>16</v>
      </c>
    </row>
    <row r="15" spans="1:5" x14ac:dyDescent="0.3">
      <c r="A15" s="1" t="s">
        <v>2</v>
      </c>
      <c r="B15">
        <v>44</v>
      </c>
      <c r="C15">
        <v>1666</v>
      </c>
      <c r="D15">
        <v>2084864</v>
      </c>
      <c r="E15" t="s">
        <v>12</v>
      </c>
    </row>
    <row r="16" spans="1:5" x14ac:dyDescent="0.3">
      <c r="A16" s="1" t="s">
        <v>3</v>
      </c>
      <c r="B16">
        <v>56</v>
      </c>
      <c r="C16">
        <v>1628</v>
      </c>
      <c r="D16">
        <v>2314240</v>
      </c>
      <c r="E16" t="s">
        <v>12</v>
      </c>
    </row>
    <row r="17" spans="1:5" x14ac:dyDescent="0.3">
      <c r="A17" s="1" t="s">
        <v>30</v>
      </c>
      <c r="B17">
        <v>35</v>
      </c>
      <c r="C17">
        <v>1170</v>
      </c>
      <c r="D17">
        <v>2396160</v>
      </c>
      <c r="E17" t="s">
        <v>16</v>
      </c>
    </row>
    <row r="18" spans="1:5" x14ac:dyDescent="0.3">
      <c r="A18" s="1" t="s">
        <v>31</v>
      </c>
      <c r="B18">
        <v>43</v>
      </c>
      <c r="C18">
        <v>1489</v>
      </c>
      <c r="D18">
        <v>2502656</v>
      </c>
      <c r="E18" t="s">
        <v>16</v>
      </c>
    </row>
    <row r="19" spans="1:5" x14ac:dyDescent="0.3">
      <c r="A19" s="1" t="s">
        <v>4</v>
      </c>
      <c r="B19">
        <f>AVERAGE(B14:B18)</f>
        <v>43</v>
      </c>
      <c r="C19">
        <f>AVERAGE(C14:C18)</f>
        <v>1521</v>
      </c>
      <c r="D19">
        <f>AVERAGE(D14:D18)</f>
        <v>2291302.3999999999</v>
      </c>
    </row>
    <row r="20" spans="1:5" x14ac:dyDescent="0.3">
      <c r="A20" s="1" t="s">
        <v>29</v>
      </c>
      <c r="B20">
        <f>_xlfn.STDEV.P(B14:B18)</f>
        <v>7.3484692283495345</v>
      </c>
      <c r="C20">
        <f>_xlfn.STDEV.P(C14:C18)</f>
        <v>186.47251808242416</v>
      </c>
      <c r="D20">
        <f>_xlfn.STDEV.P(D14:D18)</f>
        <v>152591.25615001668</v>
      </c>
    </row>
    <row r="21" spans="1:5" x14ac:dyDescent="0.3">
      <c r="A21" s="1" t="s">
        <v>5</v>
      </c>
      <c r="B21">
        <v>154</v>
      </c>
      <c r="C21">
        <v>2836</v>
      </c>
      <c r="D21">
        <v>102400</v>
      </c>
      <c r="E21" t="s">
        <v>60</v>
      </c>
    </row>
    <row r="22" spans="1:5" x14ac:dyDescent="0.3">
      <c r="A22" s="1" t="s">
        <v>6</v>
      </c>
      <c r="B22">
        <v>52</v>
      </c>
      <c r="C22">
        <v>987</v>
      </c>
      <c r="D22">
        <v>131072</v>
      </c>
      <c r="E22" t="s">
        <v>33</v>
      </c>
    </row>
    <row r="25" spans="1:5" x14ac:dyDescent="0.3">
      <c r="A25" s="1" t="s">
        <v>61</v>
      </c>
      <c r="B25" s="1" t="s">
        <v>7</v>
      </c>
      <c r="C25" s="1" t="s">
        <v>8</v>
      </c>
      <c r="D25" s="1" t="s">
        <v>9</v>
      </c>
      <c r="E25" s="1" t="s">
        <v>10</v>
      </c>
    </row>
    <row r="26" spans="1:5" x14ac:dyDescent="0.3">
      <c r="A26" s="1" t="s">
        <v>1</v>
      </c>
      <c r="B26">
        <v>23</v>
      </c>
      <c r="C26">
        <v>697</v>
      </c>
      <c r="D26">
        <v>1777664</v>
      </c>
      <c r="E26" t="s">
        <v>62</v>
      </c>
    </row>
    <row r="27" spans="1:5" x14ac:dyDescent="0.3">
      <c r="A27" s="1" t="s">
        <v>2</v>
      </c>
      <c r="B27">
        <v>27</v>
      </c>
      <c r="C27">
        <v>765</v>
      </c>
      <c r="D27">
        <v>1601536</v>
      </c>
      <c r="E27" t="s">
        <v>62</v>
      </c>
    </row>
    <row r="28" spans="1:5" x14ac:dyDescent="0.3">
      <c r="A28" s="1" t="s">
        <v>3</v>
      </c>
      <c r="B28">
        <v>71</v>
      </c>
      <c r="C28">
        <v>1574</v>
      </c>
      <c r="D28">
        <v>2756608</v>
      </c>
      <c r="E28" t="s">
        <v>26</v>
      </c>
    </row>
    <row r="29" spans="1:5" x14ac:dyDescent="0.3">
      <c r="A29" s="1" t="s">
        <v>30</v>
      </c>
      <c r="B29">
        <v>30</v>
      </c>
      <c r="C29">
        <v>754</v>
      </c>
      <c r="D29">
        <v>2453504</v>
      </c>
      <c r="E29" t="s">
        <v>62</v>
      </c>
    </row>
    <row r="30" spans="1:5" x14ac:dyDescent="0.3">
      <c r="A30" s="1" t="s">
        <v>31</v>
      </c>
      <c r="B30">
        <v>20</v>
      </c>
      <c r="C30">
        <v>661</v>
      </c>
      <c r="D30">
        <v>2457600</v>
      </c>
      <c r="E30" t="s">
        <v>62</v>
      </c>
    </row>
    <row r="31" spans="1:5" x14ac:dyDescent="0.3">
      <c r="A31" s="1" t="s">
        <v>4</v>
      </c>
      <c r="B31">
        <f>AVERAGE(B26:B30)</f>
        <v>34.200000000000003</v>
      </c>
      <c r="C31">
        <f>AVERAGE(C26:C30)</f>
        <v>890.2</v>
      </c>
      <c r="D31">
        <f>AVERAGE(D26:D30)</f>
        <v>2209382.3999999999</v>
      </c>
    </row>
    <row r="32" spans="1:5" x14ac:dyDescent="0.3">
      <c r="A32" s="1" t="s">
        <v>29</v>
      </c>
      <c r="B32">
        <f>_xlfn.STDEV.P(B26:B30)</f>
        <v>18.712562625145708</v>
      </c>
      <c r="C32">
        <f>_xlfn.STDEV.P(C26:C30)</f>
        <v>343.99616276929601</v>
      </c>
      <c r="D32">
        <f>_xlfn.STDEV.P(D26:D30)</f>
        <v>441932.39589855826</v>
      </c>
    </row>
    <row r="33" spans="1:5" x14ac:dyDescent="0.3">
      <c r="A33" s="1" t="s">
        <v>5</v>
      </c>
      <c r="B33">
        <v>204</v>
      </c>
      <c r="C33">
        <v>2885</v>
      </c>
      <c r="D33">
        <v>102400</v>
      </c>
      <c r="E33" t="s">
        <v>60</v>
      </c>
    </row>
    <row r="34" spans="1:5" x14ac:dyDescent="0.3">
      <c r="A34" s="1" t="s">
        <v>6</v>
      </c>
      <c r="B34">
        <v>49</v>
      </c>
      <c r="C34">
        <v>964</v>
      </c>
      <c r="D34">
        <v>131072</v>
      </c>
      <c r="E34" t="s">
        <v>11</v>
      </c>
    </row>
    <row r="37" spans="1:5" x14ac:dyDescent="0.3">
      <c r="A37" s="1" t="s">
        <v>64</v>
      </c>
      <c r="B37" s="1" t="s">
        <v>7</v>
      </c>
      <c r="C37" s="1" t="s">
        <v>8</v>
      </c>
      <c r="D37" s="1" t="s">
        <v>9</v>
      </c>
      <c r="E37" s="1" t="s">
        <v>10</v>
      </c>
    </row>
    <row r="38" spans="1:5" x14ac:dyDescent="0.3">
      <c r="A38" s="1" t="s">
        <v>1</v>
      </c>
      <c r="B38">
        <v>29</v>
      </c>
      <c r="C38">
        <v>1600</v>
      </c>
      <c r="D38">
        <v>1953792</v>
      </c>
      <c r="E38" t="s">
        <v>63</v>
      </c>
    </row>
    <row r="39" spans="1:5" x14ac:dyDescent="0.3">
      <c r="A39" s="1" t="s">
        <v>2</v>
      </c>
      <c r="B39">
        <v>21</v>
      </c>
      <c r="C39">
        <v>888</v>
      </c>
      <c r="D39">
        <v>2404352</v>
      </c>
      <c r="E39" t="s">
        <v>63</v>
      </c>
    </row>
    <row r="40" spans="1:5" x14ac:dyDescent="0.3">
      <c r="A40" s="1" t="s">
        <v>3</v>
      </c>
      <c r="B40">
        <v>73</v>
      </c>
      <c r="C40">
        <v>2353</v>
      </c>
      <c r="D40">
        <v>2265088</v>
      </c>
      <c r="E40" t="s">
        <v>11</v>
      </c>
    </row>
    <row r="41" spans="1:5" x14ac:dyDescent="0.3">
      <c r="A41" s="1" t="s">
        <v>30</v>
      </c>
      <c r="B41">
        <v>20</v>
      </c>
      <c r="C41">
        <v>894</v>
      </c>
      <c r="D41">
        <v>1650688</v>
      </c>
      <c r="E41" t="s">
        <v>63</v>
      </c>
    </row>
    <row r="42" spans="1:5" x14ac:dyDescent="0.3">
      <c r="A42" s="1" t="s">
        <v>31</v>
      </c>
      <c r="B42">
        <v>115</v>
      </c>
      <c r="C42">
        <v>2883</v>
      </c>
      <c r="D42">
        <v>2363392</v>
      </c>
      <c r="E42" t="s">
        <v>33</v>
      </c>
    </row>
    <row r="43" spans="1:5" x14ac:dyDescent="0.3">
      <c r="A43" s="1" t="s">
        <v>4</v>
      </c>
      <c r="B43">
        <f>AVERAGE(B38:B42)</f>
        <v>51.6</v>
      </c>
      <c r="C43">
        <f>AVERAGE(C38:C42)</f>
        <v>1723.6</v>
      </c>
      <c r="D43">
        <f>AVERAGE(D38:D42)</f>
        <v>2127462.3999999999</v>
      </c>
    </row>
    <row r="44" spans="1:5" x14ac:dyDescent="0.3">
      <c r="A44" s="1" t="s">
        <v>29</v>
      </c>
      <c r="B44">
        <f>_xlfn.STDEV.P(B38:B42)</f>
        <v>37.210751134584747</v>
      </c>
      <c r="C44">
        <f>_xlfn.STDEV.P(C38:C42)</f>
        <v>792.72860425242641</v>
      </c>
      <c r="D44">
        <f>_xlfn.STDEV.P(D38:D42)</f>
        <v>285918.40404255199</v>
      </c>
    </row>
    <row r="45" spans="1:5" x14ac:dyDescent="0.3">
      <c r="A45" s="1" t="s">
        <v>5</v>
      </c>
      <c r="B45">
        <v>152</v>
      </c>
      <c r="C45">
        <v>2.9350000000000001</v>
      </c>
      <c r="D45">
        <v>102400</v>
      </c>
      <c r="E45" t="s">
        <v>33</v>
      </c>
    </row>
    <row r="46" spans="1:5" x14ac:dyDescent="0.3">
      <c r="A46" s="1" t="s">
        <v>6</v>
      </c>
      <c r="B46">
        <v>50</v>
      </c>
      <c r="C46">
        <v>1267</v>
      </c>
      <c r="D46">
        <v>126976</v>
      </c>
      <c r="E46" t="s">
        <v>20</v>
      </c>
    </row>
    <row r="49" spans="1:5" x14ac:dyDescent="0.3">
      <c r="A49" s="1" t="s">
        <v>65</v>
      </c>
      <c r="B49" s="1" t="s">
        <v>7</v>
      </c>
      <c r="C49" s="1" t="s">
        <v>8</v>
      </c>
      <c r="D49" s="1" t="s">
        <v>9</v>
      </c>
      <c r="E49" s="1" t="s">
        <v>10</v>
      </c>
    </row>
    <row r="50" spans="1:5" x14ac:dyDescent="0.3">
      <c r="A50" s="1" t="s">
        <v>1</v>
      </c>
      <c r="B50">
        <v>22</v>
      </c>
      <c r="C50">
        <v>1060</v>
      </c>
      <c r="D50">
        <v>2048000</v>
      </c>
      <c r="E50" t="s">
        <v>63</v>
      </c>
    </row>
    <row r="51" spans="1:5" x14ac:dyDescent="0.3">
      <c r="A51" s="1" t="s">
        <v>2</v>
      </c>
      <c r="B51">
        <v>87</v>
      </c>
      <c r="C51">
        <v>2480</v>
      </c>
      <c r="D51">
        <v>2277376</v>
      </c>
      <c r="E51" t="s">
        <v>66</v>
      </c>
    </row>
    <row r="52" spans="1:5" x14ac:dyDescent="0.3">
      <c r="A52" s="1" t="s">
        <v>3</v>
      </c>
      <c r="B52">
        <v>30</v>
      </c>
      <c r="C52">
        <v>846</v>
      </c>
      <c r="D52">
        <v>2019328</v>
      </c>
      <c r="E52" t="s">
        <v>63</v>
      </c>
    </row>
    <row r="53" spans="1:5" x14ac:dyDescent="0.3">
      <c r="A53" s="1" t="s">
        <v>30</v>
      </c>
      <c r="B53">
        <v>126</v>
      </c>
      <c r="C53">
        <v>2965</v>
      </c>
      <c r="D53">
        <v>2785280</v>
      </c>
      <c r="E53" t="s">
        <v>67</v>
      </c>
    </row>
    <row r="54" spans="1:5" x14ac:dyDescent="0.3">
      <c r="A54" s="1" t="s">
        <v>31</v>
      </c>
      <c r="B54">
        <v>19</v>
      </c>
      <c r="C54">
        <v>714</v>
      </c>
      <c r="D54">
        <v>1921024</v>
      </c>
      <c r="E54" t="s">
        <v>63</v>
      </c>
    </row>
    <row r="55" spans="1:5" x14ac:dyDescent="0.3">
      <c r="A55" s="1" t="s">
        <v>4</v>
      </c>
      <c r="B55">
        <f>AVERAGE(B50:B54)</f>
        <v>56.8</v>
      </c>
      <c r="C55">
        <f>AVERAGE(C50:C54)</f>
        <v>1613</v>
      </c>
      <c r="D55">
        <f>AVERAGE(D50:D54)</f>
        <v>2210201.6000000001</v>
      </c>
    </row>
    <row r="56" spans="1:5" x14ac:dyDescent="0.3">
      <c r="A56" s="1" t="s">
        <v>29</v>
      </c>
      <c r="B56">
        <f>_xlfn.STDEV.P(B50:B54)</f>
        <v>42.56477416831904</v>
      </c>
      <c r="C56">
        <f>_xlfn.STDEV.P(C50:C54)</f>
        <v>925.40715363563083</v>
      </c>
      <c r="D56">
        <f>_xlfn.STDEV.P(D50:D54)</f>
        <v>310352.49015376047</v>
      </c>
    </row>
    <row r="57" spans="1:5" x14ac:dyDescent="0.3">
      <c r="A57" s="1" t="s">
        <v>5</v>
      </c>
      <c r="B57">
        <v>144</v>
      </c>
      <c r="C57">
        <v>2402</v>
      </c>
      <c r="D57">
        <v>102400</v>
      </c>
      <c r="E57" t="s">
        <v>67</v>
      </c>
    </row>
    <row r="58" spans="1:5" x14ac:dyDescent="0.3">
      <c r="A58" s="1" t="s">
        <v>6</v>
      </c>
      <c r="B58">
        <v>44</v>
      </c>
      <c r="C58">
        <v>1530</v>
      </c>
      <c r="D58">
        <v>126976</v>
      </c>
      <c r="E58" t="s">
        <v>46</v>
      </c>
    </row>
    <row r="61" spans="1:5" x14ac:dyDescent="0.3">
      <c r="A61" s="1" t="s">
        <v>71</v>
      </c>
      <c r="B61" t="s">
        <v>76</v>
      </c>
      <c r="C61" t="s">
        <v>75</v>
      </c>
      <c r="D61" t="s">
        <v>77</v>
      </c>
    </row>
    <row r="62" spans="1:5" x14ac:dyDescent="0.3">
      <c r="A62">
        <v>5</v>
      </c>
      <c r="B62">
        <v>21.4</v>
      </c>
      <c r="C62">
        <v>50</v>
      </c>
      <c r="D62">
        <v>29</v>
      </c>
    </row>
    <row r="63" spans="1:5" x14ac:dyDescent="0.3">
      <c r="A63">
        <v>7</v>
      </c>
      <c r="B63">
        <v>43</v>
      </c>
      <c r="C63">
        <v>154</v>
      </c>
      <c r="D63">
        <v>52</v>
      </c>
    </row>
    <row r="64" spans="1:5" x14ac:dyDescent="0.3">
      <c r="A64">
        <v>9</v>
      </c>
      <c r="B64">
        <v>34.200000000000003</v>
      </c>
      <c r="C64">
        <v>204</v>
      </c>
      <c r="D64">
        <v>49</v>
      </c>
    </row>
    <row r="65" spans="1:4" x14ac:dyDescent="0.3">
      <c r="A65">
        <v>11</v>
      </c>
      <c r="B65">
        <v>51.6</v>
      </c>
      <c r="C65">
        <v>152</v>
      </c>
      <c r="D65">
        <v>50</v>
      </c>
    </row>
    <row r="66" spans="1:4" x14ac:dyDescent="0.3">
      <c r="A66">
        <v>13</v>
      </c>
      <c r="B66">
        <v>56.8</v>
      </c>
      <c r="C66">
        <v>144</v>
      </c>
      <c r="D66">
        <v>44</v>
      </c>
    </row>
    <row r="77" spans="1:4" x14ac:dyDescent="0.3">
      <c r="A77" s="1" t="s">
        <v>71</v>
      </c>
      <c r="B77" t="s">
        <v>76</v>
      </c>
      <c r="C77" t="s">
        <v>75</v>
      </c>
      <c r="D77" t="s">
        <v>77</v>
      </c>
    </row>
    <row r="78" spans="1:4" x14ac:dyDescent="0.3">
      <c r="A78">
        <v>5</v>
      </c>
      <c r="B78">
        <v>710.6</v>
      </c>
      <c r="C78">
        <v>1027</v>
      </c>
      <c r="D78">
        <v>926</v>
      </c>
    </row>
    <row r="79" spans="1:4" x14ac:dyDescent="0.3">
      <c r="A79">
        <v>7</v>
      </c>
      <c r="B79">
        <v>1521</v>
      </c>
      <c r="C79">
        <v>2836</v>
      </c>
      <c r="D79">
        <v>987</v>
      </c>
    </row>
    <row r="80" spans="1:4" x14ac:dyDescent="0.3">
      <c r="A80">
        <v>9</v>
      </c>
      <c r="B80">
        <v>890.2</v>
      </c>
      <c r="C80">
        <v>2885</v>
      </c>
      <c r="D80">
        <v>964</v>
      </c>
    </row>
    <row r="81" spans="1:4" x14ac:dyDescent="0.3">
      <c r="A81">
        <v>11</v>
      </c>
      <c r="B81">
        <v>1723.6</v>
      </c>
      <c r="C81">
        <v>2935</v>
      </c>
      <c r="D81">
        <v>1267</v>
      </c>
    </row>
    <row r="82" spans="1:4" x14ac:dyDescent="0.3">
      <c r="A82">
        <v>13</v>
      </c>
      <c r="B82">
        <v>1613</v>
      </c>
      <c r="C82">
        <v>2402</v>
      </c>
      <c r="D82">
        <v>1530</v>
      </c>
    </row>
    <row r="94" spans="1:4" x14ac:dyDescent="0.3">
      <c r="A94" s="1" t="s">
        <v>71</v>
      </c>
      <c r="B94" t="s">
        <v>76</v>
      </c>
      <c r="C94" t="s">
        <v>75</v>
      </c>
      <c r="D94" t="s">
        <v>77</v>
      </c>
    </row>
    <row r="95" spans="1:4" x14ac:dyDescent="0.3">
      <c r="A95">
        <v>5</v>
      </c>
      <c r="B95">
        <v>2020966.3999999999</v>
      </c>
      <c r="C95">
        <v>131072</v>
      </c>
      <c r="D95">
        <v>16384</v>
      </c>
    </row>
    <row r="96" spans="1:4" x14ac:dyDescent="0.3">
      <c r="A96">
        <v>7</v>
      </c>
      <c r="B96">
        <v>2291302.3999999999</v>
      </c>
      <c r="C96">
        <v>102400</v>
      </c>
      <c r="D96">
        <v>131072</v>
      </c>
    </row>
    <row r="97" spans="1:4" x14ac:dyDescent="0.3">
      <c r="A97">
        <v>9</v>
      </c>
      <c r="B97">
        <v>2209382.3999999999</v>
      </c>
      <c r="C97">
        <v>102400</v>
      </c>
      <c r="D97">
        <v>131072</v>
      </c>
    </row>
    <row r="98" spans="1:4" x14ac:dyDescent="0.3">
      <c r="A98">
        <v>11</v>
      </c>
      <c r="B98">
        <v>2127462.3999999999</v>
      </c>
      <c r="C98">
        <v>102400</v>
      </c>
      <c r="D98">
        <v>126976</v>
      </c>
    </row>
    <row r="99" spans="1:4" x14ac:dyDescent="0.3">
      <c r="A99">
        <v>13</v>
      </c>
      <c r="B99">
        <v>2210201.6000000001</v>
      </c>
      <c r="C99">
        <v>102400</v>
      </c>
      <c r="D99">
        <v>126976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Radius 0.8</vt:lpstr>
      <vt:lpstr>Radius 1</vt:lpstr>
      <vt:lpstr>Radius 1.2</vt:lpstr>
      <vt:lpstr>Radius 1.4</vt:lpstr>
      <vt:lpstr>Radius 1.6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Radu Bobe</cp:lastModifiedBy>
  <dcterms:created xsi:type="dcterms:W3CDTF">2015-06-05T18:17:20Z</dcterms:created>
  <dcterms:modified xsi:type="dcterms:W3CDTF">2025-04-10T20:52:34Z</dcterms:modified>
</cp:coreProperties>
</file>